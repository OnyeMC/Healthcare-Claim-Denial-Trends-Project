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lara\Documents\PROJECTS\Claim Denials Project\"/>
    </mc:Choice>
  </mc:AlternateContent>
  <xr:revisionPtr revIDLastSave="0" documentId="13_ncr:1_{47C4B940-E837-49CC-B34E-EAFCA4DBF401}" xr6:coauthVersionLast="47" xr6:coauthVersionMax="47" xr10:uidLastSave="{00000000-0000-0000-0000-000000000000}"/>
  <bookViews>
    <workbookView xWindow="-110" yWindow="-110" windowWidth="19420" windowHeight="11500" activeTab="3" xr2:uid="{313F5BCD-B511-4F42-B4F5-827E8DBAC8FD}"/>
  </bookViews>
  <sheets>
    <sheet name="clean_dataset" sheetId="4" r:id="rId1"/>
    <sheet name="analysis" sheetId="1" r:id="rId2"/>
    <sheet name="charts for dashboard" sheetId="9" state="hidden" r:id="rId3"/>
    <sheet name="dashboard" sheetId="5" r:id="rId4"/>
  </sheets>
  <definedNames>
    <definedName name="ExternalData_1" localSheetId="0" hidden="1">clean_dataset!$A$1:$M$752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4" i="1" l="1"/>
  <c r="P83" i="1"/>
  <c r="P82" i="1"/>
  <c r="P75" i="1"/>
  <c r="P74" i="1"/>
  <c r="P73" i="1"/>
  <c r="H84" i="1"/>
  <c r="H83" i="1"/>
  <c r="H82" i="1"/>
  <c r="H74" i="1"/>
  <c r="H75" i="1"/>
  <c r="H73" i="1"/>
  <c r="P47" i="1"/>
  <c r="P48" i="1"/>
  <c r="P49" i="1"/>
  <c r="P50" i="1"/>
  <c r="P51" i="1"/>
  <c r="P52" i="1"/>
  <c r="P53" i="1"/>
  <c r="P54" i="1"/>
  <c r="P55" i="1"/>
  <c r="P46" i="1"/>
  <c r="H47" i="1"/>
  <c r="H48" i="1"/>
  <c r="H49" i="1"/>
  <c r="H50" i="1"/>
  <c r="H51" i="1"/>
  <c r="H52" i="1"/>
  <c r="H53" i="1"/>
  <c r="H54" i="1"/>
  <c r="H55" i="1"/>
  <c r="H46" i="1"/>
  <c r="P31" i="1"/>
  <c r="P32" i="1"/>
  <c r="P33" i="1"/>
  <c r="P34" i="1"/>
  <c r="P35" i="1"/>
  <c r="P36" i="1"/>
  <c r="P37" i="1"/>
  <c r="P30" i="1"/>
  <c r="H31" i="1"/>
  <c r="H32" i="1"/>
  <c r="H33" i="1"/>
  <c r="H34" i="1"/>
  <c r="H35" i="1"/>
  <c r="H36" i="1"/>
  <c r="H37" i="1"/>
  <c r="H30" i="1"/>
  <c r="C22" i="1"/>
  <c r="G18" i="1"/>
  <c r="G19" i="1"/>
  <c r="G20" i="1"/>
  <c r="G21" i="1"/>
  <c r="G17" i="1"/>
  <c r="G12" i="1"/>
  <c r="L12" i="1"/>
  <c r="J12" i="1"/>
  <c r="K12" i="1"/>
  <c r="H12" i="1"/>
  <c r="I12" i="1"/>
  <c r="J11" i="1"/>
  <c r="I11" i="1"/>
  <c r="K11" i="1"/>
  <c r="G11" i="1"/>
  <c r="L11" i="1"/>
  <c r="H11" i="1"/>
  <c r="G22" i="1" l="1"/>
  <c r="I2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621F2E-F7DD-4199-B5E2-306D1CFD147B}" keepAlive="1" name="Query - claim_data" description="Connection to the 'claim_data' query in the workbook." type="5" refreshedVersion="8" background="1" saveData="1">
    <dbPr connection="Provider=Microsoft.Mashup.OleDb.1;Data Source=$Workbook$;Location=claim_data;Extended Properties=&quot;&quot;" command="SELECT * FROM [claim_data]"/>
  </connection>
  <connection id="2" xr16:uid="{67A1A6B8-D5D7-4263-8828-5E38DBBFE59E}" keepAlive="1" name="Query - enhanced_health_insurance_claims" description="Connection to the 'enhanced_health_insurance_claims' query in the workbook." type="5" refreshedVersion="0" background="1">
    <dbPr connection="Provider=Microsoft.Mashup.OleDb.1;Data Source=$Workbook$;Location=enhanced_health_insurance_claims;Extended Properties=&quot;&quot;" command="SELECT * FROM [enhanced_health_insurance_claims]"/>
  </connection>
</connections>
</file>

<file path=xl/sharedStrings.xml><?xml version="1.0" encoding="utf-8"?>
<sst xmlns="http://schemas.openxmlformats.org/spreadsheetml/2006/main" count="6306" uniqueCount="930">
  <si>
    <t>Denied</t>
  </si>
  <si>
    <t>Grand Total</t>
  </si>
  <si>
    <t>Claim Status</t>
  </si>
  <si>
    <t>1. Claim Denial Rates:</t>
  </si>
  <si>
    <t>Claim ID</t>
  </si>
  <si>
    <t>Provider ID</t>
  </si>
  <si>
    <t>Patient ID</t>
  </si>
  <si>
    <t>Month</t>
  </si>
  <si>
    <t>Billed Amount</t>
  </si>
  <si>
    <t>Procedure Code</t>
  </si>
  <si>
    <t>Diagnosis Code</t>
  </si>
  <si>
    <t>Insurance Type</t>
  </si>
  <si>
    <t>Reason Code</t>
  </si>
  <si>
    <t>August</t>
  </si>
  <si>
    <t>99231</t>
  </si>
  <si>
    <t>A02.1</t>
  </si>
  <si>
    <t>Paid</t>
  </si>
  <si>
    <t>N/A</t>
  </si>
  <si>
    <t>9U86CI2P5A</t>
  </si>
  <si>
    <t>June</t>
  </si>
  <si>
    <t>99213</t>
  </si>
  <si>
    <t>A16.5</t>
  </si>
  <si>
    <t>Medicare</t>
  </si>
  <si>
    <t>1QEU1AIDAU</t>
  </si>
  <si>
    <t>July</t>
  </si>
  <si>
    <t>A00.1</t>
  </si>
  <si>
    <t>Commercial</t>
  </si>
  <si>
    <t>Under Review</t>
  </si>
  <si>
    <t>Duplicate claim</t>
  </si>
  <si>
    <t>WH7XDS8CEO</t>
  </si>
  <si>
    <t>May</t>
  </si>
  <si>
    <t>99215</t>
  </si>
  <si>
    <t>A18.6</t>
  </si>
  <si>
    <t>Authorization not obtained</t>
  </si>
  <si>
    <t>M6OJEZ8KGI</t>
  </si>
  <si>
    <t>99238</t>
  </si>
  <si>
    <t>A17.9</t>
  </si>
  <si>
    <t>G7C9QQKWHN</t>
  </si>
  <si>
    <t>99221</t>
  </si>
  <si>
    <t>A01.9</t>
  </si>
  <si>
    <t>Incorrect billing information</t>
  </si>
  <si>
    <t>GTGZLOTL2C</t>
  </si>
  <si>
    <t>A07.8</t>
  </si>
  <si>
    <t>Medicaid</t>
  </si>
  <si>
    <t>Patient eligibility issues</t>
  </si>
  <si>
    <t>TLU7MTJ63J</t>
  </si>
  <si>
    <t>A05.4</t>
  </si>
  <si>
    <t>44K5PG8X8S</t>
  </si>
  <si>
    <t>A09.9</t>
  </si>
  <si>
    <t>TO2JYK61C0</t>
  </si>
  <si>
    <t>A03.9</t>
  </si>
  <si>
    <t>Pre-existing condition</t>
  </si>
  <si>
    <t>DOX1BBCXK5</t>
  </si>
  <si>
    <t>99223</t>
  </si>
  <si>
    <t>A02.2</t>
  </si>
  <si>
    <t>Lack of medical necessity</t>
  </si>
  <si>
    <t>99233</t>
  </si>
  <si>
    <t>A06.0</t>
  </si>
  <si>
    <t>Service not covered</t>
  </si>
  <si>
    <t>2ETLXC20SI</t>
  </si>
  <si>
    <t>2VO26C5QLH</t>
  </si>
  <si>
    <t>A07.0</t>
  </si>
  <si>
    <t>BCCMJ8LJ96</t>
  </si>
  <si>
    <t>A03.3</t>
  </si>
  <si>
    <t>08283DU65I</t>
  </si>
  <si>
    <t>A00.9</t>
  </si>
  <si>
    <t>1EO0LLBIBO</t>
  </si>
  <si>
    <t>September</t>
  </si>
  <si>
    <t>A05.0</t>
  </si>
  <si>
    <t>640R5YIQ6A</t>
  </si>
  <si>
    <t>99214</t>
  </si>
  <si>
    <t>A04.2</t>
  </si>
  <si>
    <t>A16.9</t>
  </si>
  <si>
    <t>T3ZDMQHOSX</t>
  </si>
  <si>
    <t>A08.1</t>
  </si>
  <si>
    <t>P5FJOMYEDC</t>
  </si>
  <si>
    <t>A06.8</t>
  </si>
  <si>
    <t>TCXP3XFFDS</t>
  </si>
  <si>
    <t>A16.3</t>
  </si>
  <si>
    <t>IF5G6HAB92</t>
  </si>
  <si>
    <t>99222</t>
  </si>
  <si>
    <t>A18.1</t>
  </si>
  <si>
    <t>IFXQAH3MIK</t>
  </si>
  <si>
    <t>A19.8</t>
  </si>
  <si>
    <t>2SARP2I5H9</t>
  </si>
  <si>
    <t>A16.8</t>
  </si>
  <si>
    <t>A18.3</t>
  </si>
  <si>
    <t>RWKH596U64</t>
  </si>
  <si>
    <t>A18.7</t>
  </si>
  <si>
    <t>UH0C4B3YR5</t>
  </si>
  <si>
    <t>A04.6</t>
  </si>
  <si>
    <t>G7DPHO9I6X</t>
  </si>
  <si>
    <t>A05.7</t>
  </si>
  <si>
    <t>AYT4TJVKH7</t>
  </si>
  <si>
    <t>A06.3</t>
  </si>
  <si>
    <t>LDWX5I35Y9</t>
  </si>
  <si>
    <t>A16.1</t>
  </si>
  <si>
    <t>A08.0</t>
  </si>
  <si>
    <t>U45AZS93YA</t>
  </si>
  <si>
    <t>99232</t>
  </si>
  <si>
    <t>A04.7</t>
  </si>
  <si>
    <t>A18.4</t>
  </si>
  <si>
    <t>W2X0AC9IUT</t>
  </si>
  <si>
    <t>A09.0</t>
  </si>
  <si>
    <t>1OKE09QSKL</t>
  </si>
  <si>
    <t>A06.7</t>
  </si>
  <si>
    <t>A05.2</t>
  </si>
  <si>
    <t>A02.0</t>
  </si>
  <si>
    <t>PHOAQ5H154</t>
  </si>
  <si>
    <t>A17.8</t>
  </si>
  <si>
    <t>A15.0</t>
  </si>
  <si>
    <t>NSK6R4LGQ4</t>
  </si>
  <si>
    <t>A06.5</t>
  </si>
  <si>
    <t>MCJ9C4ZQPO</t>
  </si>
  <si>
    <t>A01.4</t>
  </si>
  <si>
    <t>82R3QQ9VPC</t>
  </si>
  <si>
    <t>A01.3</t>
  </si>
  <si>
    <t>A08.3</t>
  </si>
  <si>
    <t>RWB3CY2N3R</t>
  </si>
  <si>
    <t>NHHPZSIUQ1</t>
  </si>
  <si>
    <t>A00.0</t>
  </si>
  <si>
    <t>A07.2</t>
  </si>
  <si>
    <t>A01.6</t>
  </si>
  <si>
    <t>SXA0Y4D2F4</t>
  </si>
  <si>
    <t>YRWDW54QCU</t>
  </si>
  <si>
    <t>A18.8</t>
  </si>
  <si>
    <t>Missing documentation</t>
  </si>
  <si>
    <t>XFZSM9KRYN</t>
  </si>
  <si>
    <t>A19.1</t>
  </si>
  <si>
    <t>AVDFWNW7BN</t>
  </si>
  <si>
    <t>6S2L1EFYSK</t>
  </si>
  <si>
    <t>U9APUQPEOK</t>
  </si>
  <si>
    <t>A03.8</t>
  </si>
  <si>
    <t>1L74T6EQHS</t>
  </si>
  <si>
    <t>A17.0</t>
  </si>
  <si>
    <t>HEDXUK78NG</t>
  </si>
  <si>
    <t>OZ0STLJCOJ</t>
  </si>
  <si>
    <t>A19.9</t>
  </si>
  <si>
    <t>A02.4</t>
  </si>
  <si>
    <t>7TSWS4AHEN</t>
  </si>
  <si>
    <t>A05.1</t>
  </si>
  <si>
    <t>RD48W0M9WX</t>
  </si>
  <si>
    <t>A04.1</t>
  </si>
  <si>
    <t>PRD42TVDPG</t>
  </si>
  <si>
    <t>A07.1</t>
  </si>
  <si>
    <t>L89UDLJ2NI</t>
  </si>
  <si>
    <t>PKDYQLLP1T</t>
  </si>
  <si>
    <t>70RB2DX72C</t>
  </si>
  <si>
    <t>687AAGZGYM</t>
  </si>
  <si>
    <t>A04.0</t>
  </si>
  <si>
    <t>JNFJSO06YF</t>
  </si>
  <si>
    <t>NNDPDP4PUX</t>
  </si>
  <si>
    <t>P4M0WYYASU</t>
  </si>
  <si>
    <t>MR88OM31L0</t>
  </si>
  <si>
    <t>HQFAB2SMC9</t>
  </si>
  <si>
    <t>A04.3</t>
  </si>
  <si>
    <t>3XOA6SC9QY</t>
  </si>
  <si>
    <t>A02.9</t>
  </si>
  <si>
    <t>UETPKIKATP</t>
  </si>
  <si>
    <t>A19.0</t>
  </si>
  <si>
    <t>1L48S5IGVD</t>
  </si>
  <si>
    <t>A06.6</t>
  </si>
  <si>
    <t>3JPU21TOE9</t>
  </si>
  <si>
    <t>7M8ZDCDCTG</t>
  </si>
  <si>
    <t>HCL9H8CQGO</t>
  </si>
  <si>
    <t>A16.4</t>
  </si>
  <si>
    <t>3JA9PT2RH3</t>
  </si>
  <si>
    <t>W8SPOELELC</t>
  </si>
  <si>
    <t>A05.6</t>
  </si>
  <si>
    <t>N7604XMPSX</t>
  </si>
  <si>
    <t>53DW6Z56H1</t>
  </si>
  <si>
    <t>6YZ62OZFAN</t>
  </si>
  <si>
    <t>BYQIHBG8AD</t>
  </si>
  <si>
    <t>A07.9</t>
  </si>
  <si>
    <t>7KGAUFE3MK</t>
  </si>
  <si>
    <t>6WVZ1JS19L</t>
  </si>
  <si>
    <t>BDK55VFH1X</t>
  </si>
  <si>
    <t>A01.1</t>
  </si>
  <si>
    <t>SD9AW0B386</t>
  </si>
  <si>
    <t>MH2GKOI48N</t>
  </si>
  <si>
    <t>A04.5</t>
  </si>
  <si>
    <t>8BYBEXV9ID</t>
  </si>
  <si>
    <t>0U7E1EAUSA</t>
  </si>
  <si>
    <t>A18.0</t>
  </si>
  <si>
    <t>NXKCCKA5NX</t>
  </si>
  <si>
    <t>A18.9</t>
  </si>
  <si>
    <t>BVE7444IA9</t>
  </si>
  <si>
    <t>A08.8</t>
  </si>
  <si>
    <t>1OIRVKJHYQ</t>
  </si>
  <si>
    <t>A03.1</t>
  </si>
  <si>
    <t>1ZE0CH9ANF</t>
  </si>
  <si>
    <t>A16.2</t>
  </si>
  <si>
    <t>LD9ZVUWJ7S</t>
  </si>
  <si>
    <t>17VQIO0ZZG</t>
  </si>
  <si>
    <t>0SDKFKDYX1</t>
  </si>
  <si>
    <t>TNZPP780RC</t>
  </si>
  <si>
    <t>PMIJKF5WZO</t>
  </si>
  <si>
    <t>SVV61N3AQ7</t>
  </si>
  <si>
    <t>XZW4R6GEEF</t>
  </si>
  <si>
    <t>A02.3</t>
  </si>
  <si>
    <t>03KUGWSDD8</t>
  </si>
  <si>
    <t>A18.5</t>
  </si>
  <si>
    <t>EOQUYX5O54</t>
  </si>
  <si>
    <t>A07.3</t>
  </si>
  <si>
    <t>JAC7K36F6Y</t>
  </si>
  <si>
    <t>7J1R25LVGG</t>
  </si>
  <si>
    <t>EF88E3TVPL</t>
  </si>
  <si>
    <t>5K0KC4SOY9</t>
  </si>
  <si>
    <t>SX8SWSLL97</t>
  </si>
  <si>
    <t>FWFLP75LPZ</t>
  </si>
  <si>
    <t>3AJGX7SNXM</t>
  </si>
  <si>
    <t>2FJH03XQ5I</t>
  </si>
  <si>
    <t>4K0UUQPBR1</t>
  </si>
  <si>
    <t>0TEY5ZGYC2</t>
  </si>
  <si>
    <t>KDW6UKGYW2</t>
  </si>
  <si>
    <t>A17.1</t>
  </si>
  <si>
    <t>A16.0</t>
  </si>
  <si>
    <t>I3W13NNO8Q</t>
  </si>
  <si>
    <t>BG5RPIOIIX</t>
  </si>
  <si>
    <t>SALNYWZEJK</t>
  </si>
  <si>
    <t>A02.8</t>
  </si>
  <si>
    <t>A08.2</t>
  </si>
  <si>
    <t>LL816PKJ2U</t>
  </si>
  <si>
    <t>ONKNYV8849</t>
  </si>
  <si>
    <t>GWA3OQX4F2</t>
  </si>
  <si>
    <t>KE2JUP5NKX</t>
  </si>
  <si>
    <t>UZGEPUI1ZD</t>
  </si>
  <si>
    <t>AWOUVDKC2I</t>
  </si>
  <si>
    <t>W7NKLL5GMD</t>
  </si>
  <si>
    <t>DKC9G21BFU</t>
  </si>
  <si>
    <t>E5WVM3JMNQ</t>
  </si>
  <si>
    <t>A01.0</t>
  </si>
  <si>
    <t>YCGP8RKL8Y</t>
  </si>
  <si>
    <t>XQTYU38PUI</t>
  </si>
  <si>
    <t>I5O7G25IAN</t>
  </si>
  <si>
    <t>A04.8</t>
  </si>
  <si>
    <t>VUBDXKSITN</t>
  </si>
  <si>
    <t>A18.2</t>
  </si>
  <si>
    <t>ZRUKF056OF</t>
  </si>
  <si>
    <t>A06.9</t>
  </si>
  <si>
    <t>AY4L0KGRHL</t>
  </si>
  <si>
    <t>NQU276KNZT</t>
  </si>
  <si>
    <t>F78K1VGNH4</t>
  </si>
  <si>
    <t>BEAN2D0O3M</t>
  </si>
  <si>
    <t>CQILUKTAFA</t>
  </si>
  <si>
    <t>80DLRL727R</t>
  </si>
  <si>
    <t>A01.2</t>
  </si>
  <si>
    <t>0HD3Q0V5IC</t>
  </si>
  <si>
    <t>56F9KQZFDL</t>
  </si>
  <si>
    <t>IE1OJBS037</t>
  </si>
  <si>
    <t>1DFD6LPA9G</t>
  </si>
  <si>
    <t>A05.9</t>
  </si>
  <si>
    <t>A01.5</t>
  </si>
  <si>
    <t>JYOSMJ1CRQ</t>
  </si>
  <si>
    <t>A06.4</t>
  </si>
  <si>
    <t>HLMIGVNKJ7</t>
  </si>
  <si>
    <t>A15.9</t>
  </si>
  <si>
    <t>UZR5F00FFZ</t>
  </si>
  <si>
    <t>0APP6HH8P5</t>
  </si>
  <si>
    <t>A05.3</t>
  </si>
  <si>
    <t>9D3MU6S6VP</t>
  </si>
  <si>
    <t>2F80QSVG1R</t>
  </si>
  <si>
    <t>HBDFQ5AGAA</t>
  </si>
  <si>
    <t>KG6SX3AG7V</t>
  </si>
  <si>
    <t>O0O7I4PCDS</t>
  </si>
  <si>
    <t>RKGK9M4GZO</t>
  </si>
  <si>
    <t>BWTZDPRYZZ</t>
  </si>
  <si>
    <t>EWUTRPI1J8</t>
  </si>
  <si>
    <t>A03.2</t>
  </si>
  <si>
    <t>HD07525Z0X</t>
  </si>
  <si>
    <t>G1JP7RHVW8</t>
  </si>
  <si>
    <t>F501F1764T</t>
  </si>
  <si>
    <t>B4MSXFA2GR</t>
  </si>
  <si>
    <t>XE2Z4WKGGB</t>
  </si>
  <si>
    <t>M97JVAMO2P</t>
  </si>
  <si>
    <t>NI9CBAIJTD</t>
  </si>
  <si>
    <t>9LEEKO4KJC</t>
  </si>
  <si>
    <t>J0FY34DBL2</t>
  </si>
  <si>
    <t>6E6Q3BQE0N</t>
  </si>
  <si>
    <t>A08.9</t>
  </si>
  <si>
    <t>M7ILBBTT8L</t>
  </si>
  <si>
    <t>A06.2</t>
  </si>
  <si>
    <t>47HVBI67F2</t>
  </si>
  <si>
    <t>CBX9LUCCSS</t>
  </si>
  <si>
    <t>T0BTL69QA7</t>
  </si>
  <si>
    <t>0GDEC1CH9Z</t>
  </si>
  <si>
    <t>QYKLHSFZT2</t>
  </si>
  <si>
    <t>VVEOSUKMII</t>
  </si>
  <si>
    <t>1C54EPEN70</t>
  </si>
  <si>
    <t>ZJX40JVXLG</t>
  </si>
  <si>
    <t>4PRWBE0QQ3</t>
  </si>
  <si>
    <t>GJMUVI7CZZ</t>
  </si>
  <si>
    <t>PDYXDJBNAN</t>
  </si>
  <si>
    <t>Z42IOQWBTC</t>
  </si>
  <si>
    <t>HIBKOPNEIE</t>
  </si>
  <si>
    <t>TD0EG8I93R</t>
  </si>
  <si>
    <t>TQ08LFF3FV</t>
  </si>
  <si>
    <t>70RGURTCPA</t>
  </si>
  <si>
    <t>KL2NRHBXG3</t>
  </si>
  <si>
    <t>3UNK73M0U0</t>
  </si>
  <si>
    <t>3SH5BZYEI6</t>
  </si>
  <si>
    <t>7JKH2VI6DD</t>
  </si>
  <si>
    <t>Z7O5NINUTV</t>
  </si>
  <si>
    <t>A06.1</t>
  </si>
  <si>
    <t>NGUGYELCR7</t>
  </si>
  <si>
    <t>0HP3KCYTOK</t>
  </si>
  <si>
    <t>A04.4</t>
  </si>
  <si>
    <t>EHOUC8V902</t>
  </si>
  <si>
    <t>302RLDJRB7</t>
  </si>
  <si>
    <t>IJ5T168FLX</t>
  </si>
  <si>
    <t>8UNA2IB1ZX</t>
  </si>
  <si>
    <t>5C9OLF3YP8</t>
  </si>
  <si>
    <t>PXYIFX4268</t>
  </si>
  <si>
    <t>O3CSIRMW8P</t>
  </si>
  <si>
    <t>A05.5</t>
  </si>
  <si>
    <t>4AECRPPSTL</t>
  </si>
  <si>
    <t>DZFSOUHGBF</t>
  </si>
  <si>
    <t>A16.7</t>
  </si>
  <si>
    <t>3IR5DUUQ5M</t>
  </si>
  <si>
    <t>PM54Q7IGGF</t>
  </si>
  <si>
    <t>8HM2VGTBHP</t>
  </si>
  <si>
    <t>8M3S6ZC4GU</t>
  </si>
  <si>
    <t>6RUEXRV795</t>
  </si>
  <si>
    <t>WUXPAPYDJU</t>
  </si>
  <si>
    <t>1M1MK6JZAL</t>
  </si>
  <si>
    <t>F2LVCBX3C9</t>
  </si>
  <si>
    <t>8JOH31L3XF</t>
  </si>
  <si>
    <t>9HQARUCJAZ</t>
  </si>
  <si>
    <t>BBMF6OIC4Q</t>
  </si>
  <si>
    <t>7QWWTFM7MQ</t>
  </si>
  <si>
    <t>8JTYJBLKYX</t>
  </si>
  <si>
    <t>78U9JVB2CS</t>
  </si>
  <si>
    <t>0ELR493PP9</t>
  </si>
  <si>
    <t>NYK85QFJ0M</t>
  </si>
  <si>
    <t>7U2W94AYFZ</t>
  </si>
  <si>
    <t>UVS6HAYALP</t>
  </si>
  <si>
    <t>ES1H10757M</t>
  </si>
  <si>
    <t>T8V8F2TJVN</t>
  </si>
  <si>
    <t>BADGAN63O1</t>
  </si>
  <si>
    <t>75AMCU420G</t>
  </si>
  <si>
    <t>BRLBQB5Z8W</t>
  </si>
  <si>
    <t>AFCVL9N05Z</t>
  </si>
  <si>
    <t>02HDTMEYBE</t>
  </si>
  <si>
    <t>RYK7V1USXY</t>
  </si>
  <si>
    <t>H78BQWI46Q</t>
  </si>
  <si>
    <t>L70MLPG9WX</t>
  </si>
  <si>
    <t>ASAGRMN99L</t>
  </si>
  <si>
    <t>FP4D1HMS97</t>
  </si>
  <si>
    <t>JTXKJPEWZQ</t>
  </si>
  <si>
    <t>DE86ZVSWGN</t>
  </si>
  <si>
    <t>KBNFZU8SYL</t>
  </si>
  <si>
    <t>B7CSMGD65V</t>
  </si>
  <si>
    <t>BM46KSJ4FY</t>
  </si>
  <si>
    <t>TNT7EEVKZX</t>
  </si>
  <si>
    <t>A05.8</t>
  </si>
  <si>
    <t>XRRAATHX7I</t>
  </si>
  <si>
    <t>4LMUCC6EEL</t>
  </si>
  <si>
    <t>CPRNC20S0K</t>
  </si>
  <si>
    <t>CVF7Y7KAOZ</t>
  </si>
  <si>
    <t>R7RLXFRSWX</t>
  </si>
  <si>
    <t>FNX1TBN1XF</t>
  </si>
  <si>
    <t>WE9JLOLRC8</t>
  </si>
  <si>
    <t>UXDDPVCG8H</t>
  </si>
  <si>
    <t>IN0BAMQIXM</t>
  </si>
  <si>
    <t>B5ULJ1M5SS</t>
  </si>
  <si>
    <t>90VPEVGZTG</t>
  </si>
  <si>
    <t>GO8ABAHN8D</t>
  </si>
  <si>
    <t>2Q8UK89CPS</t>
  </si>
  <si>
    <t>J0JCK9H2HR</t>
  </si>
  <si>
    <t>MU2O5Y4HBK</t>
  </si>
  <si>
    <t>BH0DC85TS6</t>
  </si>
  <si>
    <t>TC3HF0R7CG</t>
  </si>
  <si>
    <t>6YE0Z7FPZF</t>
  </si>
  <si>
    <t>VIQOSRTPW6</t>
  </si>
  <si>
    <t>R4TIU6SCHJ</t>
  </si>
  <si>
    <t>6JFCY852AG</t>
  </si>
  <si>
    <t>BPQGMWQA5R</t>
  </si>
  <si>
    <t>5TKHQC4OPH</t>
  </si>
  <si>
    <t>A15.1</t>
  </si>
  <si>
    <t>OLX3Q4HRIX</t>
  </si>
  <si>
    <t>3VEZPISXYZ</t>
  </si>
  <si>
    <t>FQBY5Z2ZG2</t>
  </si>
  <si>
    <t>DTYB61YENA</t>
  </si>
  <si>
    <t>RZUF3PE99H</t>
  </si>
  <si>
    <t>SVR2H11FYO</t>
  </si>
  <si>
    <t>01L9NHVIUU</t>
  </si>
  <si>
    <t>OAQOSKB3CR</t>
  </si>
  <si>
    <t>R2SLJKKWFZ</t>
  </si>
  <si>
    <t>LQYHO7NJCW</t>
  </si>
  <si>
    <t>GHVECIEWLH</t>
  </si>
  <si>
    <t>C3PKOULKZP</t>
  </si>
  <si>
    <t>IFPYN6IAQA</t>
  </si>
  <si>
    <t>96MDHYJRRY</t>
  </si>
  <si>
    <t>N0T94WRUFA</t>
  </si>
  <si>
    <t>C9ZBG0R9D0</t>
  </si>
  <si>
    <t>KIDOEFPCL0</t>
  </si>
  <si>
    <t>B9L38ZKA7V</t>
  </si>
  <si>
    <t>8EW7CJOK89</t>
  </si>
  <si>
    <t>DH2T793H5U</t>
  </si>
  <si>
    <t>FSKS53L7J4</t>
  </si>
  <si>
    <t>5WEE0PSTC3</t>
  </si>
  <si>
    <t>UMCTO3BEC0</t>
  </si>
  <si>
    <t>H4QNL8ZBRP</t>
  </si>
  <si>
    <t>1RSN8PDSYU</t>
  </si>
  <si>
    <t>XD8C82CW3P</t>
  </si>
  <si>
    <t>16QBHSWXOJ</t>
  </si>
  <si>
    <t>3XS4QK00DY</t>
  </si>
  <si>
    <t>SPFYYRQ9GH</t>
  </si>
  <si>
    <t>CCDDLJ7UW8</t>
  </si>
  <si>
    <t>0WRW4TL9HD</t>
  </si>
  <si>
    <t>BM10M6FKNZ</t>
  </si>
  <si>
    <t>AHYTK3IUCS</t>
  </si>
  <si>
    <t>9VLDIYIQ8G</t>
  </si>
  <si>
    <t>AXFYJ7MX3A</t>
  </si>
  <si>
    <t>NY9SLPB2UB</t>
  </si>
  <si>
    <t>WQJ50L25Y4</t>
  </si>
  <si>
    <t>LRU2G1YR12</t>
  </si>
  <si>
    <t>J9ECN1F636</t>
  </si>
  <si>
    <t>C7Z7JJWRJN</t>
  </si>
  <si>
    <t>A04.9</t>
  </si>
  <si>
    <t>1QJPSYN8CF</t>
  </si>
  <si>
    <t>VGUXDCV9Y8</t>
  </si>
  <si>
    <t>4K4Z6BCD6J</t>
  </si>
  <si>
    <t>C00FD4KL4V</t>
  </si>
  <si>
    <t>DNFMWNRD9U</t>
  </si>
  <si>
    <t>9Y4KE7SXSQ</t>
  </si>
  <si>
    <t>DAVFOV90QE</t>
  </si>
  <si>
    <t>SDC9H2BOJC</t>
  </si>
  <si>
    <t>AZLH3XYRRW</t>
  </si>
  <si>
    <t>IVSNZQUSXZ</t>
  </si>
  <si>
    <t>Z33I5R1X6S</t>
  </si>
  <si>
    <t>12RGJ3FDA4</t>
  </si>
  <si>
    <t>OF3WTXDV0U</t>
  </si>
  <si>
    <t>OLJ2M5UCO2</t>
  </si>
  <si>
    <t>20OHERICHK</t>
  </si>
  <si>
    <t>X32L8C6W1X</t>
  </si>
  <si>
    <t>KRQ6IPHZYW</t>
  </si>
  <si>
    <t>VTAUFJ7BKN</t>
  </si>
  <si>
    <t>L2ENUTGO5B</t>
  </si>
  <si>
    <t>HPXPNC70AU</t>
  </si>
  <si>
    <t>UWYNJXDO8V</t>
  </si>
  <si>
    <t>GFHQX72JNU</t>
  </si>
  <si>
    <t>LAN2241BE2</t>
  </si>
  <si>
    <t>0H47YAG0MY</t>
  </si>
  <si>
    <t>XUQ2FGB74Q</t>
  </si>
  <si>
    <t>VN32TA88KS</t>
  </si>
  <si>
    <t>4SA4IIPARK</t>
  </si>
  <si>
    <t>8H6FAKD1OH</t>
  </si>
  <si>
    <t>N6F3POFGQ3</t>
  </si>
  <si>
    <t>2UH8ILFP75</t>
  </si>
  <si>
    <t>QNOX3H2NWY</t>
  </si>
  <si>
    <t>RH0CA7UMA5</t>
  </si>
  <si>
    <t>OG6QYF8WN0</t>
  </si>
  <si>
    <t>FY4ARNIAR0</t>
  </si>
  <si>
    <t>BWYHFOFN0K</t>
  </si>
  <si>
    <t>G81CW7DUDU</t>
  </si>
  <si>
    <t>OQZ5GVP2W3</t>
  </si>
  <si>
    <t>2SGU0UOZN5</t>
  </si>
  <si>
    <t>F2E9ST7Z1O</t>
  </si>
  <si>
    <t>EYOS09JPEW</t>
  </si>
  <si>
    <t>WWX6WBPW0J</t>
  </si>
  <si>
    <t>Z90Y40KDPV</t>
  </si>
  <si>
    <t>BRAEVGQEU7</t>
  </si>
  <si>
    <t>GAAC6UT7P6</t>
  </si>
  <si>
    <t>PBAFT6EYLJ</t>
  </si>
  <si>
    <t>A03.0</t>
  </si>
  <si>
    <t>THD8NIN8TY</t>
  </si>
  <si>
    <t>WXBN0W53RM</t>
  </si>
  <si>
    <t>5PH5HE0L8N</t>
  </si>
  <si>
    <t>IKQ5AY8IP1</t>
  </si>
  <si>
    <t>9HBSSJQZDY</t>
  </si>
  <si>
    <t>TAPW4HOKKM</t>
  </si>
  <si>
    <t>K7J1X0HONB</t>
  </si>
  <si>
    <t>KZX6FP6J9O</t>
  </si>
  <si>
    <t>YZAGYKYRB2</t>
  </si>
  <si>
    <t>2WHWNIY1TM</t>
  </si>
  <si>
    <t>586EP1QAYC</t>
  </si>
  <si>
    <t>OF7UX4XGSW</t>
  </si>
  <si>
    <t>A08.4</t>
  </si>
  <si>
    <t>9Y20UR7643</t>
  </si>
  <si>
    <t>7MG5FQREVH</t>
  </si>
  <si>
    <t>M99CP63NEC</t>
  </si>
  <si>
    <t>3C75WW2CAV</t>
  </si>
  <si>
    <t>MWH0ES7NQW</t>
  </si>
  <si>
    <t>7PN5XKSAPC</t>
  </si>
  <si>
    <t>U4IFB14TLJ</t>
  </si>
  <si>
    <t>ZCAL98SER3</t>
  </si>
  <si>
    <t>3W1ZGOCWBR</t>
  </si>
  <si>
    <t>WF4YVYAFG4</t>
  </si>
  <si>
    <t>T4IK0M3OTB</t>
  </si>
  <si>
    <t>8MSN086HUZ</t>
  </si>
  <si>
    <t>M64MV5E6F4</t>
  </si>
  <si>
    <t>4U3PWYYT8N</t>
  </si>
  <si>
    <t>QIGS8Q9MEP</t>
  </si>
  <si>
    <t>A08.5</t>
  </si>
  <si>
    <t>QIUN6AO9ZU</t>
  </si>
  <si>
    <t>F63YLTVPE1</t>
  </si>
  <si>
    <t>D8WZASCOKT</t>
  </si>
  <si>
    <t>ITE8467J13</t>
  </si>
  <si>
    <t>XA9XX1CF8K</t>
  </si>
  <si>
    <t>RGD4XQNGNK</t>
  </si>
  <si>
    <t>QYJZ30BVLC</t>
  </si>
  <si>
    <t>NCHSYXWG77</t>
  </si>
  <si>
    <t>QQ0KL6T24I</t>
  </si>
  <si>
    <t>LLJ4PW1V8J</t>
  </si>
  <si>
    <t>7EHCM0SDGU</t>
  </si>
  <si>
    <t>EYZXJO99RP</t>
  </si>
  <si>
    <t>03YCRLVYCF</t>
  </si>
  <si>
    <t>G7FB0U1BD4</t>
  </si>
  <si>
    <t>9S5QARLS2V</t>
  </si>
  <si>
    <t>JEBQKNOYID</t>
  </si>
  <si>
    <t>2Y0VVPVIMZ</t>
  </si>
  <si>
    <t>MQAS4JKSHX</t>
  </si>
  <si>
    <t>ZOB7UB1PR9</t>
  </si>
  <si>
    <t>3JFJQ88OY1</t>
  </si>
  <si>
    <t>99ZMC11M60</t>
  </si>
  <si>
    <t>AAT5XZDTJW</t>
  </si>
  <si>
    <t>3Q307029M3</t>
  </si>
  <si>
    <t>ZCWD5JEPEH</t>
  </si>
  <si>
    <t>8XK4VQ1I4J</t>
  </si>
  <si>
    <t>PFDS57UU33</t>
  </si>
  <si>
    <t>8YYM83RH9Y</t>
  </si>
  <si>
    <t>IS2Q9232TB</t>
  </si>
  <si>
    <t>2DJN1MSV2X</t>
  </si>
  <si>
    <t>21J06GW5M0</t>
  </si>
  <si>
    <t>FLKDNITK1C</t>
  </si>
  <si>
    <t>CG2WFA54Q0</t>
  </si>
  <si>
    <t>IXC1HAAKNF</t>
  </si>
  <si>
    <t>PU8KUGCRHP</t>
  </si>
  <si>
    <t>C7O7E2BT7E</t>
  </si>
  <si>
    <t>9SWG5H3QW9</t>
  </si>
  <si>
    <t>KR2U0NMU00</t>
  </si>
  <si>
    <t>0MBZW073GU</t>
  </si>
  <si>
    <t>7H1OW65LTP</t>
  </si>
  <si>
    <t>S0JYIMQIN5</t>
  </si>
  <si>
    <t>W64LMPWOKH</t>
  </si>
  <si>
    <t>6C19YE4II2</t>
  </si>
  <si>
    <t>SP6RHRWTIU</t>
  </si>
  <si>
    <t>XFEHKBPSXT</t>
  </si>
  <si>
    <t>DH8YOGGD5Z</t>
  </si>
  <si>
    <t>323X466L0H</t>
  </si>
  <si>
    <t>OG3UU8P74N</t>
  </si>
  <si>
    <t>EHNT0RI9PA</t>
  </si>
  <si>
    <t>DRGKQNK954</t>
  </si>
  <si>
    <t>L3X436BQ81</t>
  </si>
  <si>
    <t>X3KCXIZP92</t>
  </si>
  <si>
    <t>418K56U6HI</t>
  </si>
  <si>
    <t>21BXPWDAX1</t>
  </si>
  <si>
    <t>YKLXY8LT34</t>
  </si>
  <si>
    <t>JTPTG3QK9K</t>
  </si>
  <si>
    <t>V5FAM54GJ0</t>
  </si>
  <si>
    <t>GZ6JDKF2N9</t>
  </si>
  <si>
    <t>CLT90VMN8P</t>
  </si>
  <si>
    <t>67DSRVOOK1</t>
  </si>
  <si>
    <t>3K5D8SBI2R</t>
  </si>
  <si>
    <t>T6XLU2KNIU</t>
  </si>
  <si>
    <t>BUFUPQ243Y</t>
  </si>
  <si>
    <t>3KT2BBMZSW</t>
  </si>
  <si>
    <t>CZNVC6FGMJ</t>
  </si>
  <si>
    <t>726DJMTT0D</t>
  </si>
  <si>
    <t>YC2I7G9H9T</t>
  </si>
  <si>
    <t>O5Z5W0ZO3S</t>
  </si>
  <si>
    <t>AUNCU3I1PP</t>
  </si>
  <si>
    <t>D197HVAPRY</t>
  </si>
  <si>
    <t>NPM4DTYPZB</t>
  </si>
  <si>
    <t>26UZK6TQQ2</t>
  </si>
  <si>
    <t>HPYV0IGQ6H</t>
  </si>
  <si>
    <t>B8LBI001RL</t>
  </si>
  <si>
    <t>YL6OWAB28W</t>
  </si>
  <si>
    <t>KLSLGX0W6H</t>
  </si>
  <si>
    <t>Q1WTI6ESSG</t>
  </si>
  <si>
    <t>P7QVG9MP32</t>
  </si>
  <si>
    <t>8TPPVEO7NV</t>
  </si>
  <si>
    <t>HQYRI270HY</t>
  </si>
  <si>
    <t>FKTZG0CNQO</t>
  </si>
  <si>
    <t>Y1WH3V1TPF</t>
  </si>
  <si>
    <t>7L4J9HMQXQ</t>
  </si>
  <si>
    <t>QID1IWIUBX</t>
  </si>
  <si>
    <t>8U442JG6ZZ</t>
  </si>
  <si>
    <t>U79659CUA1</t>
  </si>
  <si>
    <t>OVL10LO2Q7</t>
  </si>
  <si>
    <t>V4UC8NOS7Y</t>
  </si>
  <si>
    <t>6O9HDAP1PX</t>
  </si>
  <si>
    <t>K3SDSZZS3G</t>
  </si>
  <si>
    <t>4Q7CUR00E1</t>
  </si>
  <si>
    <t>UMMFYEKL2L</t>
  </si>
  <si>
    <t>IJTA1OJ7O1</t>
  </si>
  <si>
    <t>WSAXXHQ1T1</t>
  </si>
  <si>
    <t>X3SK7L93LM</t>
  </si>
  <si>
    <t>5MMRWAIYXD</t>
  </si>
  <si>
    <t>D83NCPMVTK</t>
  </si>
  <si>
    <t>E9IEIYB8WZ</t>
  </si>
  <si>
    <t>06NQMSR38I</t>
  </si>
  <si>
    <t>626B66H97K</t>
  </si>
  <si>
    <t>129JSAM402</t>
  </si>
  <si>
    <t>Y7PLNK4HHX</t>
  </si>
  <si>
    <t>KE1122CFDF</t>
  </si>
  <si>
    <t>OYAQX3178P</t>
  </si>
  <si>
    <t>XY6SDTZAKM</t>
  </si>
  <si>
    <t>RJC3BBE1LD</t>
  </si>
  <si>
    <t>S1SUBLMW4D</t>
  </si>
  <si>
    <t>CWIC0X7EWK</t>
  </si>
  <si>
    <t>V6H96YJ3Q0</t>
  </si>
  <si>
    <t>CXV519RIB1</t>
  </si>
  <si>
    <t>KCQ31K04ES</t>
  </si>
  <si>
    <t>ICXJAGX280</t>
  </si>
  <si>
    <t>GZ7AQBA9ML</t>
  </si>
  <si>
    <t>LC166BD465</t>
  </si>
  <si>
    <t>HID85OO7VR</t>
  </si>
  <si>
    <t>HWMP3FP29R</t>
  </si>
  <si>
    <t>BD6JMPH1IZ</t>
  </si>
  <si>
    <t>0RTE3LY6B3</t>
  </si>
  <si>
    <t>WP1RN1V310</t>
  </si>
  <si>
    <t>YNO4WMLIIG</t>
  </si>
  <si>
    <t>O5AUGSKC9P</t>
  </si>
  <si>
    <t>HWT8UWJWYZ</t>
  </si>
  <si>
    <t>3FYJ0NHSYH</t>
  </si>
  <si>
    <t>Q1RPRTJTB9</t>
  </si>
  <si>
    <t>0UL3SODFH8</t>
  </si>
  <si>
    <t>KCBHXUH8WG</t>
  </si>
  <si>
    <t>ZJ1B6MZOYC</t>
  </si>
  <si>
    <t>2QAVFOJ9GZ</t>
  </si>
  <si>
    <t>O38AXSYK7I</t>
  </si>
  <si>
    <t>U41UCCEZ58</t>
  </si>
  <si>
    <t>6X04TJQP95</t>
  </si>
  <si>
    <t>BYNOC8UUQ5</t>
  </si>
  <si>
    <t>7B86UJ5JVR</t>
  </si>
  <si>
    <t>WU3OXBPL3T</t>
  </si>
  <si>
    <t>THX7WD0F0Q</t>
  </si>
  <si>
    <t>8NWLLQTWC2</t>
  </si>
  <si>
    <t>UI07XS1H4P</t>
  </si>
  <si>
    <t>SKPGISFMVY</t>
  </si>
  <si>
    <t>QG9PR5YY70</t>
  </si>
  <si>
    <t>UZ78L25UAC</t>
  </si>
  <si>
    <t>4KJFCKZUKK</t>
  </si>
  <si>
    <t>YXUOO51AIG</t>
  </si>
  <si>
    <t>D9VMOS4S9C</t>
  </si>
  <si>
    <t>XCUD7INM1T</t>
  </si>
  <si>
    <t>IC6SLI7AGC</t>
  </si>
  <si>
    <t>U6MLFNT6IC</t>
  </si>
  <si>
    <t>0DMY7OM9V3</t>
  </si>
  <si>
    <t>AN3SO8970O</t>
  </si>
  <si>
    <t>6K77QKWDYO</t>
  </si>
  <si>
    <t>438A5MOVD0</t>
  </si>
  <si>
    <t>SGA3V0TOHF</t>
  </si>
  <si>
    <t>WJIDX3L5B4</t>
  </si>
  <si>
    <t>CWBNQIUSYS</t>
  </si>
  <si>
    <t>209QEFMF73</t>
  </si>
  <si>
    <t>AMJMCUDZD1</t>
  </si>
  <si>
    <t>A7BIM4W5OI</t>
  </si>
  <si>
    <t>HSQW0L8I57</t>
  </si>
  <si>
    <t>PEOSIEND10</t>
  </si>
  <si>
    <t>95M4I7X5BL</t>
  </si>
  <si>
    <t>PQPH877IZ8</t>
  </si>
  <si>
    <t>BBTT5H8V6N</t>
  </si>
  <si>
    <t>ERWFNE7M6D</t>
  </si>
  <si>
    <t>ECVNVDR51B</t>
  </si>
  <si>
    <t>DE31P3T4TS</t>
  </si>
  <si>
    <t>1ORERG2ELZ</t>
  </si>
  <si>
    <t>YEP9X5FSQX</t>
  </si>
  <si>
    <t>QOC4NVWPEP</t>
  </si>
  <si>
    <t>1DIBSAA0GS</t>
  </si>
  <si>
    <t>BBALKOLK23</t>
  </si>
  <si>
    <t>OQBPO0JDHO</t>
  </si>
  <si>
    <t>JVCZ61N2FM</t>
  </si>
  <si>
    <t>DOFIAEWQW7</t>
  </si>
  <si>
    <t>92DA4ZTOLN</t>
  </si>
  <si>
    <t>K5BCGKRQY3</t>
  </si>
  <si>
    <t>J9H7OYFB45</t>
  </si>
  <si>
    <t>TS5ZMDJSKZ</t>
  </si>
  <si>
    <t>J4GB5VWXUS</t>
  </si>
  <si>
    <t>Q1Q19NHYZM</t>
  </si>
  <si>
    <t>8TI9Y6QQ53</t>
  </si>
  <si>
    <t>VJGM6MW2DZ</t>
  </si>
  <si>
    <t>BVJOITR4RV</t>
  </si>
  <si>
    <t>XAIGCLSI4Y</t>
  </si>
  <si>
    <t>4WXTPMT08D</t>
  </si>
  <si>
    <t>OVKO1LGUEC</t>
  </si>
  <si>
    <t>BVSZ1EPKDF</t>
  </si>
  <si>
    <t>QUZRFHJAR8</t>
  </si>
  <si>
    <t>CYAWZMLXG0</t>
  </si>
  <si>
    <t>4E8URPGWI5</t>
  </si>
  <si>
    <t>KV3RKW36MO</t>
  </si>
  <si>
    <t>9O9WTSEDCL</t>
  </si>
  <si>
    <t>VB81LMR8RI</t>
  </si>
  <si>
    <t>RJTSXSP5SM</t>
  </si>
  <si>
    <t>E15S838EWA</t>
  </si>
  <si>
    <t>ALIEYHSV55</t>
  </si>
  <si>
    <t>FL9M8Z4Y1J</t>
  </si>
  <si>
    <t>PPK3L0R3LR</t>
  </si>
  <si>
    <t>ZM8800YXGY</t>
  </si>
  <si>
    <t>IZ8BSYN5X4</t>
  </si>
  <si>
    <t>ZQ640SEO54</t>
  </si>
  <si>
    <t>08KG46TN02</t>
  </si>
  <si>
    <t>ID5AXGTIDE</t>
  </si>
  <si>
    <t>8NMD6CEZMD</t>
  </si>
  <si>
    <t>ERY1K3Z0TB</t>
  </si>
  <si>
    <t>9IFDDQ36FW</t>
  </si>
  <si>
    <t>CTJK42TUZ8</t>
  </si>
  <si>
    <t>7RDGLF6OU7</t>
  </si>
  <si>
    <t>W1RENLXMZ4</t>
  </si>
  <si>
    <t>FOM6YO0M18</t>
  </si>
  <si>
    <t>ZPUWYEDYOH</t>
  </si>
  <si>
    <t>RB61VAQ523</t>
  </si>
  <si>
    <t>WL60FKOVWH</t>
  </si>
  <si>
    <t>AP28NM4VQO</t>
  </si>
  <si>
    <t>F0Y42MDKM6</t>
  </si>
  <si>
    <t>57J87V07ZO</t>
  </si>
  <si>
    <t>8RA02PAZ3K</t>
  </si>
  <si>
    <t>K8KCHTWFUS</t>
  </si>
  <si>
    <t>FYVZLKU5TI</t>
  </si>
  <si>
    <t>CYYSJWFT1W</t>
  </si>
  <si>
    <t>YCS97XY0NS</t>
  </si>
  <si>
    <t>6MHAEM4P58</t>
  </si>
  <si>
    <t>5IKJGLKO4P</t>
  </si>
  <si>
    <t>MGOUBYCPFB</t>
  </si>
  <si>
    <t>B07E0WBIBB</t>
  </si>
  <si>
    <t>HCNJAJGT4Z</t>
  </si>
  <si>
    <t>6LE49QIXCT</t>
  </si>
  <si>
    <t>PUKOSNJ35K</t>
  </si>
  <si>
    <t>CNBBUT8T5I</t>
  </si>
  <si>
    <t>L797FD0SNP</t>
  </si>
  <si>
    <t>Z1Z2ZQ5U7U</t>
  </si>
  <si>
    <t>NO6GY7VPNW</t>
  </si>
  <si>
    <t>OYBVBAKDX5</t>
  </si>
  <si>
    <t>EPKY9B3VTO</t>
  </si>
  <si>
    <t>86F69M8L9E</t>
  </si>
  <si>
    <t>3K0AR4BPGW</t>
  </si>
  <si>
    <t>PABV6OLKMQ</t>
  </si>
  <si>
    <t>6BJE3LNSJQ</t>
  </si>
  <si>
    <t>BGG466BHSJ</t>
  </si>
  <si>
    <t>4B1AHMG221</t>
  </si>
  <si>
    <t>UMVJDSVJR8</t>
  </si>
  <si>
    <t>TDOMP7GJ2J</t>
  </si>
  <si>
    <t>YLF0TRZ099</t>
  </si>
  <si>
    <t>EFCJAMQ3AG</t>
  </si>
  <si>
    <t>NFWA7XAG06</t>
  </si>
  <si>
    <t>M9H3WABYHK</t>
  </si>
  <si>
    <t>VQSZIK4R0J</t>
  </si>
  <si>
    <t>5BJDCTPIVV</t>
  </si>
  <si>
    <t>0AQ1RKI4OP</t>
  </si>
  <si>
    <t>BGZ9T7Q7PY</t>
  </si>
  <si>
    <t>HGF6SVZ8XH</t>
  </si>
  <si>
    <t>IUZ0VOYKNH</t>
  </si>
  <si>
    <t>JEKNLS2R5J</t>
  </si>
  <si>
    <t>SS16360ERW</t>
  </si>
  <si>
    <t>2M24IKVGJJ</t>
  </si>
  <si>
    <t>VY8HSZ3J87</t>
  </si>
  <si>
    <t>1BDJ66Q452</t>
  </si>
  <si>
    <t>QU9DY8FFQL</t>
  </si>
  <si>
    <t>XYWYHSG74M</t>
  </si>
  <si>
    <t>585SJ9K52L</t>
  </si>
  <si>
    <t>TBB3T8EH51</t>
  </si>
  <si>
    <t>IV5DPIAVYI</t>
  </si>
  <si>
    <t>TWUIVJOJPP</t>
  </si>
  <si>
    <t>HJES7YGQ7B</t>
  </si>
  <si>
    <t>V6SVI279AR</t>
  </si>
  <si>
    <t>1PS63SZRP0</t>
  </si>
  <si>
    <t>B9S8MF5KB4</t>
  </si>
  <si>
    <t>EC3CBF0A85</t>
  </si>
  <si>
    <t>HRS9X0U3RP</t>
  </si>
  <si>
    <t>T30CYF9HYC</t>
  </si>
  <si>
    <t>TFPW9XYEUW</t>
  </si>
  <si>
    <t>WWY9YQYOR5</t>
  </si>
  <si>
    <t>HZUOM3LF4T</t>
  </si>
  <si>
    <t>HY0R1T7JO0</t>
  </si>
  <si>
    <t>HDHWAID8ZV</t>
  </si>
  <si>
    <t>AI9ZGV3O5W</t>
  </si>
  <si>
    <t>A25OXEV0JO</t>
  </si>
  <si>
    <t>RNZRP67BH9</t>
  </si>
  <si>
    <t>6A59DETALK</t>
  </si>
  <si>
    <t>41NJ11CAZ5</t>
  </si>
  <si>
    <t>ERMK3M2VY1</t>
  </si>
  <si>
    <t>XCEM92G6KD</t>
  </si>
  <si>
    <t>IDINVUDJGV</t>
  </si>
  <si>
    <t>2MNJ971AQC</t>
  </si>
  <si>
    <t>VSZXB4RKBB</t>
  </si>
  <si>
    <t>4LBC66TAM4</t>
  </si>
  <si>
    <t>VW7UAO4ZXG</t>
  </si>
  <si>
    <t>7N4H8QXWN2</t>
  </si>
  <si>
    <t>K5QT9NFGOE</t>
  </si>
  <si>
    <t>YKWF983LVJ</t>
  </si>
  <si>
    <t>8W8IUAKOHP</t>
  </si>
  <si>
    <t>SZMCXTGOR6</t>
  </si>
  <si>
    <t>IWX04IUGDO</t>
  </si>
  <si>
    <t>HWFS54VKEP</t>
  </si>
  <si>
    <t>8J9QLTOXN0</t>
  </si>
  <si>
    <t>9MT9VUTO0Q</t>
  </si>
  <si>
    <t>6H0WRQY9CU</t>
  </si>
  <si>
    <t>1BRFVQUBRX</t>
  </si>
  <si>
    <t>IT63EE5CMJ</t>
  </si>
  <si>
    <t>49ECQLXTDA</t>
  </si>
  <si>
    <t>6CE0BBF8CQ</t>
  </si>
  <si>
    <t>R7YZ5O4B4N</t>
  </si>
  <si>
    <t>DP10O1MHPI</t>
  </si>
  <si>
    <t>M5OQVEKK69</t>
  </si>
  <si>
    <t>5MJVJFSEK0</t>
  </si>
  <si>
    <t>QXY8YO7IPK</t>
  </si>
  <si>
    <t>I0COEIQ712</t>
  </si>
  <si>
    <t>B8G2Z3P19S</t>
  </si>
  <si>
    <t>F6SHBARQ3Z</t>
  </si>
  <si>
    <t>QB701VMD0V</t>
  </si>
  <si>
    <t>GNEA2YZX7V</t>
  </si>
  <si>
    <t>MEI0899HP0</t>
  </si>
  <si>
    <t>HV6YJFPHS1</t>
  </si>
  <si>
    <t>I70YO0KX89</t>
  </si>
  <si>
    <t>SVHZ5N5L9U</t>
  </si>
  <si>
    <t>KRG7YQLWBN</t>
  </si>
  <si>
    <t>6T7T133G7D</t>
  </si>
  <si>
    <t>NBANX0TOE2</t>
  </si>
  <si>
    <t>L3ZDDFMPV3</t>
  </si>
  <si>
    <t>OF1IZ9KE0U</t>
  </si>
  <si>
    <t>N83QNF7PKZ</t>
  </si>
  <si>
    <t>2WAHO1CP2T</t>
  </si>
  <si>
    <t>MR1H4QC8D4</t>
  </si>
  <si>
    <t>FOPP5FC18T</t>
  </si>
  <si>
    <t>J5IMF7CN9K</t>
  </si>
  <si>
    <t>ZXOBOP6L8H</t>
  </si>
  <si>
    <t>PKT90UJDIT</t>
  </si>
  <si>
    <t>OE9GPP394G</t>
  </si>
  <si>
    <t>FL0J8P6V5C</t>
  </si>
  <si>
    <t>AJSWRURY2W</t>
  </si>
  <si>
    <t>QCXU5JFFML</t>
  </si>
  <si>
    <t>QNXVUM7OEE</t>
  </si>
  <si>
    <t>8TKKLCD9PR</t>
  </si>
  <si>
    <t>JFAY9QX80C</t>
  </si>
  <si>
    <t>ZMB1OUAPE0</t>
  </si>
  <si>
    <t>11SI0FEVCZ</t>
  </si>
  <si>
    <t>HPYXYHXRFU</t>
  </si>
  <si>
    <t>OEZKXF81QT</t>
  </si>
  <si>
    <t>ELQ4SHKJQC</t>
  </si>
  <si>
    <t>WR6QACIBSK</t>
  </si>
  <si>
    <t>T7QQCP7VMS</t>
  </si>
  <si>
    <t>U9NZEK3R0Q</t>
  </si>
  <si>
    <t>73DDTKF6VI</t>
  </si>
  <si>
    <t>DCV0WW72UZ</t>
  </si>
  <si>
    <t>4T8C7S6CGX</t>
  </si>
  <si>
    <t>ZZ05GR98P1</t>
  </si>
  <si>
    <t>76O0SZ2HSH</t>
  </si>
  <si>
    <t>438ZIIBPK0</t>
  </si>
  <si>
    <t>ZKM055X47Q</t>
  </si>
  <si>
    <t>6YM52JTHQL</t>
  </si>
  <si>
    <t>8W8VWVFB7L</t>
  </si>
  <si>
    <t>HWYCF5V8TB</t>
  </si>
  <si>
    <t>CHFEAB3MQG</t>
  </si>
  <si>
    <t>PU7B1FLNO6</t>
  </si>
  <si>
    <t>7B8G40OLQC</t>
  </si>
  <si>
    <t>HC9LR7VEQS</t>
  </si>
  <si>
    <t>ZA95UNMKU8</t>
  </si>
  <si>
    <t>1UEWHL36HO</t>
  </si>
  <si>
    <t>IT4QQO03MM</t>
  </si>
  <si>
    <t>IJL34MZGWZ</t>
  </si>
  <si>
    <t>EJTBV2EDZJ</t>
  </si>
  <si>
    <t>55LMBJCO73</t>
  </si>
  <si>
    <t>TAW8G9M0FI</t>
  </si>
  <si>
    <t>0AVY290QRF</t>
  </si>
  <si>
    <t>VLSMLSXDZJ</t>
  </si>
  <si>
    <t>OG7KBY5XJ0</t>
  </si>
  <si>
    <t>XIP1J1DOJA</t>
  </si>
  <si>
    <t>0DOKC7VU2Z</t>
  </si>
  <si>
    <t>AOJYLP8SSR</t>
  </si>
  <si>
    <t>R1XPM19MUP</t>
  </si>
  <si>
    <t>NHZOO9HJH4</t>
  </si>
  <si>
    <t>9DIU004YOL</t>
  </si>
  <si>
    <t>5A82KGOBPF</t>
  </si>
  <si>
    <t>3KP5OZ65GC</t>
  </si>
  <si>
    <t>LOB7KVTJ35</t>
  </si>
  <si>
    <t>Q7M8419SA8</t>
  </si>
  <si>
    <t>NM01V5LU6J</t>
  </si>
  <si>
    <t>ICOL1ONOMG</t>
  </si>
  <si>
    <t>W6SCZBTG0Q</t>
  </si>
  <si>
    <t>ZRTBHH9DT9</t>
  </si>
  <si>
    <t>297BH25GH1</t>
  </si>
  <si>
    <t>FX1FD4V4IK</t>
  </si>
  <si>
    <t>N78AM81PG7</t>
  </si>
  <si>
    <t>L9R69U9UWN</t>
  </si>
  <si>
    <t>X4GU1GZSFR</t>
  </si>
  <si>
    <t>QNZ7GJQNXI</t>
  </si>
  <si>
    <t>348CB2K06X</t>
  </si>
  <si>
    <t>M5V1Q8VAFN</t>
  </si>
  <si>
    <t>VGZCXGA88E</t>
  </si>
  <si>
    <t>RAR75ZUNFZ</t>
  </si>
  <si>
    <t>Q9FUEPK824</t>
  </si>
  <si>
    <t>EUEQ7L2NXY</t>
  </si>
  <si>
    <t>YF4K5XY4T6</t>
  </si>
  <si>
    <t>64BXHI5GEZ</t>
  </si>
  <si>
    <t>95MSH5JUEO</t>
  </si>
  <si>
    <t>AKGD3IWSN1</t>
  </si>
  <si>
    <t>6SIY46K0JM</t>
  </si>
  <si>
    <t>0B0TP89BQF</t>
  </si>
  <si>
    <t>VVROAPZFFA</t>
  </si>
  <si>
    <t>Q9J55DIMLR</t>
  </si>
  <si>
    <t>531HVTDM18</t>
  </si>
  <si>
    <t>Paid Amount</t>
  </si>
  <si>
    <t>Partially Paid</t>
  </si>
  <si>
    <t>Remaining Balance</t>
  </si>
  <si>
    <t>6. Insurance Type:</t>
  </si>
  <si>
    <t>Initial Claim Status</t>
  </si>
  <si>
    <t>Final Claim Status</t>
  </si>
  <si>
    <t>3. Denial Reasons:</t>
  </si>
  <si>
    <t>Initial Denial Rate</t>
  </si>
  <si>
    <t>Final Denial Rate</t>
  </si>
  <si>
    <t>Total Remaining Balance</t>
  </si>
  <si>
    <t>2. Total Costs:</t>
  </si>
  <si>
    <t>Lost Revenue</t>
  </si>
  <si>
    <t>Total Costs to Work Appeal</t>
  </si>
  <si>
    <t>Denials</t>
  </si>
  <si>
    <t>Avg per Month:</t>
  </si>
  <si>
    <t>Avg Cost per Appeal = $44</t>
  </si>
  <si>
    <t>Total Appeal Costs</t>
  </si>
  <si>
    <t>Total</t>
  </si>
  <si>
    <t>Average</t>
  </si>
  <si>
    <t>Reason Codes</t>
  </si>
  <si>
    <t>4. Procedure &amp; Diagnosis Codes:</t>
  </si>
  <si>
    <t>CPT Codes</t>
  </si>
  <si>
    <t>Procedure Codes</t>
  </si>
  <si>
    <t>Diagnosis Codes</t>
  </si>
  <si>
    <t>ICD Codes</t>
  </si>
  <si>
    <t>5. Insurance Type</t>
  </si>
  <si>
    <t>Overall</t>
  </si>
  <si>
    <t>Initial Count</t>
  </si>
  <si>
    <t>Final Count</t>
  </si>
  <si>
    <t>Number of Denials</t>
  </si>
  <si>
    <t>initial</t>
  </si>
  <si>
    <t>final</t>
  </si>
  <si>
    <t>Initial Denials</t>
  </si>
  <si>
    <t>Final Denials</t>
  </si>
  <si>
    <t>Auth</t>
  </si>
  <si>
    <t>Eligibility</t>
  </si>
  <si>
    <t>Claim Denial Trends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</si>
</sst>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6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b/>
      <u/>
      <sz val="11"/>
      <color theme="1"/>
      <name val="Corbel"/>
      <family val="2"/>
      <scheme val="minor"/>
    </font>
    <font>
      <sz val="8"/>
      <name val="Corbel"/>
      <family val="2"/>
      <scheme val="minor"/>
    </font>
    <font>
      <b/>
      <sz val="28"/>
      <color theme="0"/>
      <name val="Corbe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4" tint="0.39997558519241921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/>
      <bottom style="thin">
        <color rgb="FF00B0F0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2" fillId="4" borderId="0" xfId="0" applyFont="1" applyFill="1"/>
    <xf numFmtId="165" fontId="0" fillId="0" borderId="0" xfId="0" applyNumberFormat="1"/>
    <xf numFmtId="0" fontId="2" fillId="4" borderId="0" xfId="0" applyFont="1" applyFill="1" applyAlignment="1">
      <alignment horizontal="left"/>
    </xf>
    <xf numFmtId="0" fontId="0" fillId="0" borderId="4" xfId="0" applyBorder="1"/>
    <xf numFmtId="0" fontId="0" fillId="0" borderId="2" xfId="0" applyBorder="1"/>
    <xf numFmtId="0" fontId="0" fillId="5" borderId="5" xfId="0" applyFill="1" applyBorder="1"/>
    <xf numFmtId="0" fontId="0" fillId="5" borderId="2" xfId="0" applyFill="1" applyBorder="1"/>
    <xf numFmtId="0" fontId="0" fillId="5" borderId="6" xfId="0" applyFill="1" applyBorder="1"/>
    <xf numFmtId="0" fontId="0" fillId="5" borderId="8" xfId="0" applyFill="1" applyBorder="1"/>
    <xf numFmtId="0" fontId="0" fillId="0" borderId="7" xfId="0" applyBorder="1"/>
    <xf numFmtId="0" fontId="0" fillId="0" borderId="3" xfId="0" applyBorder="1"/>
    <xf numFmtId="0" fontId="0" fillId="6" borderId="0" xfId="0" applyFill="1"/>
    <xf numFmtId="0" fontId="0" fillId="0" borderId="9" xfId="0" applyBorder="1"/>
    <xf numFmtId="0" fontId="2" fillId="6" borderId="9" xfId="0" applyFont="1" applyFill="1" applyBorder="1"/>
    <xf numFmtId="0" fontId="2" fillId="0" borderId="0" xfId="0" applyFont="1" applyAlignment="1">
      <alignment horizontal="left"/>
    </xf>
    <xf numFmtId="0" fontId="2" fillId="3" borderId="2" xfId="0" applyFont="1" applyFill="1" applyBorder="1"/>
    <xf numFmtId="0" fontId="0" fillId="0" borderId="8" xfId="0" applyBorder="1"/>
    <xf numFmtId="0" fontId="0" fillId="0" borderId="11" xfId="0" applyBorder="1"/>
    <xf numFmtId="0" fontId="0" fillId="3" borderId="12" xfId="0" applyFill="1" applyBorder="1"/>
    <xf numFmtId="0" fontId="0" fillId="0" borderId="13" xfId="0" applyBorder="1"/>
    <xf numFmtId="0" fontId="0" fillId="0" borderId="10" xfId="0" applyBorder="1"/>
    <xf numFmtId="164" fontId="1" fillId="3" borderId="4" xfId="1" applyNumberFormat="1" applyFont="1" applyFill="1" applyBorder="1"/>
    <xf numFmtId="164" fontId="1" fillId="3" borderId="3" xfId="1" applyNumberFormat="1" applyFont="1" applyFill="1" applyBorder="1"/>
    <xf numFmtId="0" fontId="2" fillId="4" borderId="14" xfId="0" applyFont="1" applyFill="1" applyBorder="1"/>
    <xf numFmtId="0" fontId="2" fillId="4" borderId="15" xfId="0" applyFont="1" applyFill="1" applyBorder="1"/>
    <xf numFmtId="0" fontId="2" fillId="4" borderId="16" xfId="0" applyFont="1" applyFill="1" applyBorder="1"/>
    <xf numFmtId="0" fontId="2" fillId="4" borderId="16" xfId="0" applyFont="1" applyFill="1" applyBorder="1" applyAlignment="1">
      <alignment horizontal="left"/>
    </xf>
    <xf numFmtId="165" fontId="2" fillId="4" borderId="0" xfId="0" applyNumberFormat="1" applyFont="1" applyFill="1"/>
    <xf numFmtId="165" fontId="2" fillId="4" borderId="0" xfId="0" applyNumberFormat="1" applyFont="1" applyFill="1" applyAlignment="1">
      <alignment horizontal="right"/>
    </xf>
    <xf numFmtId="0" fontId="0" fillId="7" borderId="0" xfId="0" applyFill="1"/>
    <xf numFmtId="0" fontId="0" fillId="8" borderId="0" xfId="0" applyFill="1"/>
    <xf numFmtId="0" fontId="5" fillId="8" borderId="0" xfId="0" applyFont="1" applyFill="1"/>
  </cellXfs>
  <cellStyles count="2">
    <cellStyle name="Normal" xfId="0" builtinId="0"/>
    <cellStyle name="Percent" xfId="1" builtinId="5"/>
  </cellStyles>
  <dxfs count="2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rgb="FF00B0F0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Initial vs Final Denial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analysis!$F$11</c:f>
              <c:strCache>
                <c:ptCount val="1"/>
                <c:pt idx="0">
                  <c:v>Initial Denial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analysis!$G$10:$K$10</c:f>
              <c:strCache>
                <c:ptCount val="5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</c:strCache>
            </c:strRef>
          </c:cat>
          <c:val>
            <c:numRef>
              <c:f>analysis!$G$11:$K$11</c:f>
              <c:numCache>
                <c:formatCode>0.0%</c:formatCode>
                <c:ptCount val="5"/>
                <c:pt idx="0">
                  <c:v>0.29268292682926828</c:v>
                </c:pt>
                <c:pt idx="1">
                  <c:v>0.38064516129032255</c:v>
                </c:pt>
                <c:pt idx="2">
                  <c:v>0.3146067415730337</c:v>
                </c:pt>
                <c:pt idx="3">
                  <c:v>0.36774193548387096</c:v>
                </c:pt>
                <c:pt idx="4">
                  <c:v>0.28282828282828282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CE-4980-A509-86F9A1B46DC8}"/>
            </c:ext>
          </c:extLst>
        </c:ser>
        <c:ser>
          <c:idx val="1"/>
          <c:order val="1"/>
          <c:tx>
            <c:strRef>
              <c:f>analysis!$F$12</c:f>
              <c:strCache>
                <c:ptCount val="1"/>
                <c:pt idx="0">
                  <c:v>Final Denial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analysis!$G$10:$K$10</c:f>
              <c:strCache>
                <c:ptCount val="5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</c:strCache>
            </c:strRef>
          </c:cat>
          <c:val>
            <c:numRef>
              <c:f>analysis!$G$12:$K$12</c:f>
              <c:numCache>
                <c:formatCode>0.0%</c:formatCode>
                <c:ptCount val="5"/>
                <c:pt idx="0">
                  <c:v>0.26219512195121952</c:v>
                </c:pt>
                <c:pt idx="1">
                  <c:v>0.21935483870967742</c:v>
                </c:pt>
                <c:pt idx="2">
                  <c:v>0.2303370786516854</c:v>
                </c:pt>
                <c:pt idx="3">
                  <c:v>0.23870967741935484</c:v>
                </c:pt>
                <c:pt idx="4">
                  <c:v>0.16161616161616163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CE-4980-A509-86F9A1B4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723839"/>
        <c:axId val="737721439"/>
      </c:lineChart>
      <c:catAx>
        <c:axId val="73772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21439"/>
        <c:crosses val="autoZero"/>
        <c:auto val="1"/>
        <c:lblAlgn val="ctr"/>
        <c:lblOffset val="100"/>
        <c:noMultiLvlLbl val="0"/>
      </c:catAx>
      <c:valAx>
        <c:axId val="7377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Denial</a:t>
                </a:r>
                <a:r>
                  <a:rPr lang="en-US" baseline="0"/>
                  <a:t>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2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Initial Denial Reasons Overall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'charts for dashboard'!$C$3</c:f>
              <c:strCache>
                <c:ptCount val="1"/>
                <c:pt idx="0">
                  <c:v>Average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60000"/>
                      <a:lumMod val="104000"/>
                    </a:schemeClr>
                  </a:gs>
                  <a:gs pos="100000">
                    <a:schemeClr val="accent1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8F-4EB3-B03F-E3FDCB5AC11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60000"/>
                      <a:lumMod val="104000"/>
                    </a:schemeClr>
                  </a:gs>
                  <a:gs pos="100000">
                    <a:schemeClr val="accent2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8F-4EB3-B03F-E3FDCB5AC11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60000"/>
                      <a:lumMod val="104000"/>
                    </a:schemeClr>
                  </a:gs>
                  <a:gs pos="100000">
                    <a:schemeClr val="accent3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8F-4EB3-B03F-E3FDCB5AC11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60000"/>
                      <a:lumMod val="104000"/>
                    </a:schemeClr>
                  </a:gs>
                  <a:gs pos="100000">
                    <a:schemeClr val="accent4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38F-4EB3-B03F-E3FDCB5AC11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60000"/>
                      <a:lumMod val="104000"/>
                    </a:schemeClr>
                  </a:gs>
                  <a:gs pos="100000">
                    <a:schemeClr val="accent5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8F-4EB3-B03F-E3FDCB5AC11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60000"/>
                      <a:lumMod val="104000"/>
                    </a:schemeClr>
                  </a:gs>
                  <a:gs pos="100000">
                    <a:schemeClr val="accent6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38F-4EB3-B03F-E3FDCB5AC11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60000"/>
                      <a:lumMod val="104000"/>
                    </a:schemeClr>
                  </a:gs>
                  <a:gs pos="100000">
                    <a:schemeClr val="accent1">
                      <a:lumMod val="60000"/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538F-4EB3-B03F-E3FDCB5AC11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tint val="60000"/>
                      <a:lumMod val="104000"/>
                    </a:schemeClr>
                  </a:gs>
                  <a:gs pos="100000">
                    <a:schemeClr val="accent2">
                      <a:lumMod val="60000"/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538F-4EB3-B03F-E3FDCB5AC1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for dashboard'!$B$4:$B$11</c:f>
              <c:strCache>
                <c:ptCount val="8"/>
                <c:pt idx="0">
                  <c:v>Authorization not obtained</c:v>
                </c:pt>
                <c:pt idx="1">
                  <c:v>Duplicate claim</c:v>
                </c:pt>
                <c:pt idx="2">
                  <c:v>Incorrect billing information</c:v>
                </c:pt>
                <c:pt idx="3">
                  <c:v>Lack of medical necessity</c:v>
                </c:pt>
                <c:pt idx="4">
                  <c:v>Missing documentation</c:v>
                </c:pt>
                <c:pt idx="5">
                  <c:v>Patient eligibility issues</c:v>
                </c:pt>
                <c:pt idx="6">
                  <c:v>Pre-existing condition</c:v>
                </c:pt>
                <c:pt idx="7">
                  <c:v>Service not covered</c:v>
                </c:pt>
              </c:strCache>
            </c:strRef>
          </c:cat>
          <c:val>
            <c:numRef>
              <c:f>'charts for dashboard'!$C$4:$C$11</c:f>
              <c:numCache>
                <c:formatCode>General</c:formatCode>
                <c:ptCount val="8"/>
                <c:pt idx="0">
                  <c:v>7.6</c:v>
                </c:pt>
                <c:pt idx="1">
                  <c:v>5.8</c:v>
                </c:pt>
                <c:pt idx="2">
                  <c:v>7.6</c:v>
                </c:pt>
                <c:pt idx="3">
                  <c:v>5.6</c:v>
                </c:pt>
                <c:pt idx="4">
                  <c:v>4.8</c:v>
                </c:pt>
                <c:pt idx="5">
                  <c:v>7</c:v>
                </c:pt>
                <c:pt idx="6">
                  <c:v>6.4</c:v>
                </c:pt>
                <c:pt idx="7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38F-4EB3-B03F-E3FDCB5AC11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Final Denial Reasons Overall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'charts for dashboard'!$F$3</c:f>
              <c:strCache>
                <c:ptCount val="1"/>
                <c:pt idx="0">
                  <c:v>Average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60000"/>
                      <a:lumMod val="104000"/>
                    </a:schemeClr>
                  </a:gs>
                  <a:gs pos="100000">
                    <a:schemeClr val="accent1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3E-43A2-BFE4-30A419D0619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60000"/>
                      <a:lumMod val="104000"/>
                    </a:schemeClr>
                  </a:gs>
                  <a:gs pos="100000">
                    <a:schemeClr val="accent2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3E-43A2-BFE4-30A419D0619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60000"/>
                      <a:lumMod val="104000"/>
                    </a:schemeClr>
                  </a:gs>
                  <a:gs pos="100000">
                    <a:schemeClr val="accent3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3E-43A2-BFE4-30A419D0619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60000"/>
                      <a:lumMod val="104000"/>
                    </a:schemeClr>
                  </a:gs>
                  <a:gs pos="100000">
                    <a:schemeClr val="accent4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3E-43A2-BFE4-30A419D0619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60000"/>
                      <a:lumMod val="104000"/>
                    </a:schemeClr>
                  </a:gs>
                  <a:gs pos="100000">
                    <a:schemeClr val="accent5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A3E-43A2-BFE4-30A419D0619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60000"/>
                      <a:lumMod val="104000"/>
                    </a:schemeClr>
                  </a:gs>
                  <a:gs pos="100000">
                    <a:schemeClr val="accent6"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A3E-43A2-BFE4-30A419D0619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60000"/>
                      <a:lumMod val="104000"/>
                    </a:schemeClr>
                  </a:gs>
                  <a:gs pos="100000">
                    <a:schemeClr val="accent1">
                      <a:lumMod val="60000"/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A3E-43A2-BFE4-30A419D0619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tint val="60000"/>
                      <a:lumMod val="104000"/>
                    </a:schemeClr>
                  </a:gs>
                  <a:gs pos="100000">
                    <a:schemeClr val="accent2">
                      <a:lumMod val="60000"/>
                      <a:tint val="84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A3E-43A2-BFE4-30A419D061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for dashboard'!$E$4:$E$11</c:f>
              <c:strCache>
                <c:ptCount val="8"/>
                <c:pt idx="0">
                  <c:v>Authorization not obtained</c:v>
                </c:pt>
                <c:pt idx="1">
                  <c:v>Duplicate claim</c:v>
                </c:pt>
                <c:pt idx="2">
                  <c:v>Incorrect billing information</c:v>
                </c:pt>
                <c:pt idx="3">
                  <c:v>Lack of medical necessity</c:v>
                </c:pt>
                <c:pt idx="4">
                  <c:v>Missing documentation</c:v>
                </c:pt>
                <c:pt idx="5">
                  <c:v>Patient eligibility issues</c:v>
                </c:pt>
                <c:pt idx="6">
                  <c:v>Pre-existing condition</c:v>
                </c:pt>
                <c:pt idx="7">
                  <c:v>Service not covered</c:v>
                </c:pt>
              </c:strCache>
            </c:strRef>
          </c:cat>
          <c:val>
            <c:numRef>
              <c:f>'charts for dashboard'!$F$4:$F$11</c:f>
              <c:numCache>
                <c:formatCode>General</c:formatCode>
                <c:ptCount val="8"/>
                <c:pt idx="0">
                  <c:v>4.2</c:v>
                </c:pt>
                <c:pt idx="1">
                  <c:v>4.2</c:v>
                </c:pt>
                <c:pt idx="2">
                  <c:v>4.8</c:v>
                </c:pt>
                <c:pt idx="3">
                  <c:v>4.2</c:v>
                </c:pt>
                <c:pt idx="4">
                  <c:v>4</c:v>
                </c:pt>
                <c:pt idx="5">
                  <c:v>5.2</c:v>
                </c:pt>
                <c:pt idx="6">
                  <c:v>3.8</c:v>
                </c:pt>
                <c:pt idx="7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A3E-43A2-BFE4-30A419D0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Insurance Type Frequencies for Denials Due to No Authorization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dashboard'!$C$26</c:f>
              <c:strCache>
                <c:ptCount val="1"/>
                <c:pt idx="0">
                  <c:v>Initial Denials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for dashboard'!$B$27:$B$29</c:f>
              <c:strCache>
                <c:ptCount val="3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</c:strCache>
            </c:strRef>
          </c:cat>
          <c:val>
            <c:numRef>
              <c:f>'charts for dashboard'!$C$27:$C$29</c:f>
              <c:numCache>
                <c:formatCode>General</c:formatCode>
                <c:ptCount val="3"/>
                <c:pt idx="0">
                  <c:v>2.4</c:v>
                </c:pt>
                <c:pt idx="1">
                  <c:v>1.4</c:v>
                </c:pt>
                <c:pt idx="2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0-41EE-856E-34B26A7BCF13}"/>
            </c:ext>
          </c:extLst>
        </c:ser>
        <c:ser>
          <c:idx val="1"/>
          <c:order val="1"/>
          <c:tx>
            <c:strRef>
              <c:f>'charts for dashboard'!$D$26</c:f>
              <c:strCache>
                <c:ptCount val="1"/>
                <c:pt idx="0">
                  <c:v>Final Denials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for dashboard'!$B$27:$B$29</c:f>
              <c:strCache>
                <c:ptCount val="3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</c:strCache>
            </c:strRef>
          </c:cat>
          <c:val>
            <c:numRef>
              <c:f>'charts for dashboard'!$D$27:$D$29</c:f>
              <c:numCache>
                <c:formatCode>General</c:formatCode>
                <c:ptCount val="3"/>
                <c:pt idx="0">
                  <c:v>1</c:v>
                </c:pt>
                <c:pt idx="1">
                  <c:v>0.8</c:v>
                </c:pt>
                <c:pt idx="2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0-41EE-856E-34B26A7BC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668720"/>
        <c:axId val="2036663440"/>
      </c:barChart>
      <c:catAx>
        <c:axId val="203666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Insurance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663440"/>
        <c:crosses val="autoZero"/>
        <c:auto val="1"/>
        <c:lblAlgn val="ctr"/>
        <c:lblOffset val="100"/>
        <c:noMultiLvlLbl val="0"/>
      </c:catAx>
      <c:valAx>
        <c:axId val="203666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Averahe Number of Denials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66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5875" cap="rnd" cmpd="sng" algn="ctr">
      <a:noFill/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Insurance Type Frequencies</a:t>
            </a:r>
            <a:r>
              <a:rPr lang="en-US" b="1" baseline="0"/>
              <a:t> for Denials Due to Patient Eligibility Issues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dashboard'!$G$26</c:f>
              <c:strCache>
                <c:ptCount val="1"/>
                <c:pt idx="0">
                  <c:v>Initial Denials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for dashboard'!$F$27:$F$29</c:f>
              <c:strCache>
                <c:ptCount val="3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</c:strCache>
            </c:strRef>
          </c:cat>
          <c:val>
            <c:numRef>
              <c:f>'charts for dashboard'!$G$27:$G$29</c:f>
              <c:numCache>
                <c:formatCode>General</c:formatCode>
                <c:ptCount val="3"/>
                <c:pt idx="0">
                  <c:v>2.2000000000000002</c:v>
                </c:pt>
                <c:pt idx="1">
                  <c:v>3.2</c:v>
                </c:pt>
                <c:pt idx="2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3-42F1-9A43-5D1285D738D0}"/>
            </c:ext>
          </c:extLst>
        </c:ser>
        <c:ser>
          <c:idx val="1"/>
          <c:order val="1"/>
          <c:tx>
            <c:strRef>
              <c:f>'charts for dashboard'!$H$26</c:f>
              <c:strCache>
                <c:ptCount val="1"/>
                <c:pt idx="0">
                  <c:v>Final Denials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for dashboard'!$F$27:$F$29</c:f>
              <c:strCache>
                <c:ptCount val="3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</c:strCache>
            </c:strRef>
          </c:cat>
          <c:val>
            <c:numRef>
              <c:f>'charts for dashboard'!$H$27:$H$29</c:f>
              <c:numCache>
                <c:formatCode>General</c:formatCode>
                <c:ptCount val="3"/>
                <c:pt idx="0">
                  <c:v>1.4</c:v>
                </c:pt>
                <c:pt idx="1">
                  <c:v>2.8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3-42F1-9A43-5D1285D73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020480"/>
        <c:axId val="1962019520"/>
      </c:barChart>
      <c:catAx>
        <c:axId val="196202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Insurance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19520"/>
        <c:crosses val="autoZero"/>
        <c:auto val="1"/>
        <c:lblAlgn val="ctr"/>
        <c:lblOffset val="100"/>
        <c:noMultiLvlLbl val="0"/>
      </c:catAx>
      <c:valAx>
        <c:axId val="19620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Number of Denials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CPT Code Frequencies for Denials Due to Incorrect Billing Information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for dashboard'!$C$13</c:f>
              <c:strCache>
                <c:ptCount val="1"/>
                <c:pt idx="0">
                  <c:v>Initial Denials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for dashboard'!$B$14:$B$23</c:f>
              <c:strCache>
                <c:ptCount val="10"/>
                <c:pt idx="0">
                  <c:v>99221</c:v>
                </c:pt>
                <c:pt idx="1">
                  <c:v>99215</c:v>
                </c:pt>
                <c:pt idx="2">
                  <c:v>99238</c:v>
                </c:pt>
                <c:pt idx="3">
                  <c:v>99232</c:v>
                </c:pt>
                <c:pt idx="4">
                  <c:v>99233</c:v>
                </c:pt>
                <c:pt idx="5">
                  <c:v>99214</c:v>
                </c:pt>
                <c:pt idx="6">
                  <c:v>99231</c:v>
                </c:pt>
                <c:pt idx="7">
                  <c:v>99213</c:v>
                </c:pt>
                <c:pt idx="8">
                  <c:v>99222</c:v>
                </c:pt>
                <c:pt idx="9">
                  <c:v>99223</c:v>
                </c:pt>
              </c:strCache>
            </c:strRef>
          </c:cat>
          <c:val>
            <c:numRef>
              <c:f>'charts for dashboard'!$C$14:$C$23</c:f>
              <c:numCache>
                <c:formatCode>General</c:formatCode>
                <c:ptCount val="10"/>
                <c:pt idx="0">
                  <c:v>1.6</c:v>
                </c:pt>
                <c:pt idx="1">
                  <c:v>1.4</c:v>
                </c:pt>
                <c:pt idx="2">
                  <c:v>1.2</c:v>
                </c:pt>
                <c:pt idx="3">
                  <c:v>0.8</c:v>
                </c:pt>
                <c:pt idx="4">
                  <c:v>0.8</c:v>
                </c:pt>
                <c:pt idx="5">
                  <c:v>0.6</c:v>
                </c:pt>
                <c:pt idx="6">
                  <c:v>0.6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7-4D37-AEA2-EB89A3DC0020}"/>
            </c:ext>
          </c:extLst>
        </c:ser>
        <c:ser>
          <c:idx val="1"/>
          <c:order val="1"/>
          <c:tx>
            <c:strRef>
              <c:f>'charts for dashboard'!$D$13</c:f>
              <c:strCache>
                <c:ptCount val="1"/>
                <c:pt idx="0">
                  <c:v>Final Denials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for dashboard'!$B$14:$B$23</c:f>
              <c:strCache>
                <c:ptCount val="10"/>
                <c:pt idx="0">
                  <c:v>99221</c:v>
                </c:pt>
                <c:pt idx="1">
                  <c:v>99215</c:v>
                </c:pt>
                <c:pt idx="2">
                  <c:v>99238</c:v>
                </c:pt>
                <c:pt idx="3">
                  <c:v>99232</c:v>
                </c:pt>
                <c:pt idx="4">
                  <c:v>99233</c:v>
                </c:pt>
                <c:pt idx="5">
                  <c:v>99214</c:v>
                </c:pt>
                <c:pt idx="6">
                  <c:v>99231</c:v>
                </c:pt>
                <c:pt idx="7">
                  <c:v>99213</c:v>
                </c:pt>
                <c:pt idx="8">
                  <c:v>99222</c:v>
                </c:pt>
                <c:pt idx="9">
                  <c:v>99223</c:v>
                </c:pt>
              </c:strCache>
            </c:strRef>
          </c:cat>
          <c:val>
            <c:numRef>
              <c:f>'charts for dashboard'!$D$14:$D$23</c:f>
              <c:numCache>
                <c:formatCode>General</c:formatCode>
                <c:ptCount val="10"/>
                <c:pt idx="0">
                  <c:v>1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0.2</c:v>
                </c:pt>
                <c:pt idx="5">
                  <c:v>0.8</c:v>
                </c:pt>
                <c:pt idx="6">
                  <c:v>0.2</c:v>
                </c:pt>
                <c:pt idx="7">
                  <c:v>0.4</c:v>
                </c:pt>
                <c:pt idx="8">
                  <c:v>0.2</c:v>
                </c:pt>
                <c:pt idx="9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7-4D37-AEA2-EB89A3DC0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458112"/>
        <c:axId val="1958024432"/>
      </c:barChart>
      <c:catAx>
        <c:axId val="1961458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CPT Codes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024432"/>
        <c:crosses val="autoZero"/>
        <c:auto val="1"/>
        <c:lblAlgn val="ctr"/>
        <c:lblOffset val="100"/>
        <c:noMultiLvlLbl val="0"/>
      </c:catAx>
      <c:valAx>
        <c:axId val="195802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Number</a:t>
                </a:r>
                <a:r>
                  <a:rPr lang="en-US" baseline="0"/>
                  <a:t> of Denials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336936</xdr:colOff>
      <xdr:row>11</xdr:row>
      <xdr:rowOff>49640</xdr:rowOff>
    </xdr:from>
    <xdr:to>
      <xdr:col>13</xdr:col>
      <xdr:colOff>12956</xdr:colOff>
      <xdr:row>30</xdr:row>
      <xdr:rowOff>168469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61258D8-20DD-2E76-0765-122FFC33D66C}"/>
            </a:ext>
          </a:extLst>
        </xdr:cNvPr>
        <xdr:cNvGrpSpPr/>
      </xdr:nvGrpSpPr>
      <xdr:grpSpPr>
        <a:xfrm>
          <a:off x="336936" y="2299749"/>
          <a:ext cx="8427977" cy="3528503"/>
          <a:chOff x="1998688" y="1134672"/>
          <a:chExt cx="5059181" cy="3372787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72CEDCBD-8D31-A5D8-3CC5-7116C57C4FCD}"/>
              </a:ext>
            </a:extLst>
          </xdr:cNvPr>
          <xdr:cNvSpPr/>
        </xdr:nvSpPr>
        <xdr:spPr>
          <a:xfrm>
            <a:off x="1998688" y="1134672"/>
            <a:ext cx="5059181" cy="3372787"/>
          </a:xfrm>
          <a:prstGeom prst="round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114D4CA7-2F60-4236-816C-083E7F1A3750}"/>
              </a:ext>
            </a:extLst>
          </xdr:cNvPr>
          <xdr:cNvGraphicFramePr>
            <a:graphicFrameLocks/>
          </xdr:cNvGraphicFramePr>
        </xdr:nvGraphicFramePr>
        <xdr:xfrm>
          <a:off x="2242679" y="1244911"/>
          <a:ext cx="4565337" cy="30838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13</xdr:col>
      <xdr:colOff>311017</xdr:colOff>
      <xdr:row>11</xdr:row>
      <xdr:rowOff>64797</xdr:rowOff>
    </xdr:from>
    <xdr:to>
      <xdr:col>19</xdr:col>
      <xdr:colOff>660915</xdr:colOff>
      <xdr:row>31</xdr:row>
      <xdr:rowOff>3208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14083F0-106A-7887-C502-0A6419C323C3}"/>
            </a:ext>
          </a:extLst>
        </xdr:cNvPr>
        <xdr:cNvGrpSpPr/>
      </xdr:nvGrpSpPr>
      <xdr:grpSpPr>
        <a:xfrm>
          <a:off x="9062974" y="2314906"/>
          <a:ext cx="4325550" cy="3527541"/>
          <a:chOff x="8109264" y="1322049"/>
          <a:chExt cx="3955736" cy="336643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6A0F572C-327C-407B-A885-19AEAAC731C5}"/>
              </a:ext>
            </a:extLst>
          </xdr:cNvPr>
          <xdr:cNvSpPr/>
        </xdr:nvSpPr>
        <xdr:spPr>
          <a:xfrm>
            <a:off x="8109264" y="1322049"/>
            <a:ext cx="3955736" cy="3366436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9BE5F675-8ECC-408E-BB67-FEC9D0C19257}"/>
              </a:ext>
            </a:extLst>
          </xdr:cNvPr>
          <xdr:cNvGraphicFramePr>
            <a:graphicFrameLocks/>
          </xdr:cNvGraphicFramePr>
        </xdr:nvGraphicFramePr>
        <xdr:xfrm>
          <a:off x="8285974" y="1504800"/>
          <a:ext cx="3568226" cy="290074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20</xdr:col>
      <xdr:colOff>203389</xdr:colOff>
      <xdr:row>11</xdr:row>
      <xdr:rowOff>51838</xdr:rowOff>
    </xdr:from>
    <xdr:to>
      <xdr:col>26</xdr:col>
      <xdr:colOff>466527</xdr:colOff>
      <xdr:row>30</xdr:row>
      <xdr:rowOff>150699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CE9667AF-0313-2790-600E-1C7D7E476D0C}"/>
            </a:ext>
          </a:extLst>
        </xdr:cNvPr>
        <xdr:cNvGrpSpPr/>
      </xdr:nvGrpSpPr>
      <xdr:grpSpPr>
        <a:xfrm>
          <a:off x="13593606" y="2301947"/>
          <a:ext cx="4238791" cy="3508535"/>
          <a:chOff x="12495508" y="1345339"/>
          <a:chExt cx="3962441" cy="328703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EC9D2CA0-0F2C-4F9A-B2C1-8F631275E8EF}"/>
              </a:ext>
            </a:extLst>
          </xdr:cNvPr>
          <xdr:cNvSpPr/>
        </xdr:nvSpPr>
        <xdr:spPr>
          <a:xfrm>
            <a:off x="12495508" y="1345339"/>
            <a:ext cx="3962441" cy="3287039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68A54F2-EB99-4A0C-BC44-BC4FA58BE3C2}"/>
              </a:ext>
            </a:extLst>
          </xdr:cNvPr>
          <xdr:cNvGraphicFramePr>
            <a:graphicFrameLocks/>
          </xdr:cNvGraphicFramePr>
        </xdr:nvGraphicFramePr>
        <xdr:xfrm>
          <a:off x="12698568" y="1537341"/>
          <a:ext cx="3520634" cy="2836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0</xdr:col>
      <xdr:colOff>363678</xdr:colOff>
      <xdr:row>32</xdr:row>
      <xdr:rowOff>24461</xdr:rowOff>
    </xdr:from>
    <xdr:to>
      <xdr:col>6</xdr:col>
      <xdr:colOff>414691</xdr:colOff>
      <xdr:row>49</xdr:row>
      <xdr:rowOff>116634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242D3387-4932-A50B-E130-583D04F83E69}"/>
            </a:ext>
          </a:extLst>
        </xdr:cNvPr>
        <xdr:cNvGrpSpPr/>
      </xdr:nvGrpSpPr>
      <xdr:grpSpPr>
        <a:xfrm>
          <a:off x="363678" y="6043157"/>
          <a:ext cx="4095687" cy="3142934"/>
          <a:chOff x="7993127" y="4657038"/>
          <a:chExt cx="3878146" cy="309211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0DE96D18-61B0-4060-97D0-BB783456E382}"/>
              </a:ext>
            </a:extLst>
          </xdr:cNvPr>
          <xdr:cNvSpPr/>
        </xdr:nvSpPr>
        <xdr:spPr>
          <a:xfrm>
            <a:off x="7993127" y="4657038"/>
            <a:ext cx="3878146" cy="3092116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835E7AE3-0955-4103-B0F0-7249F412CDBA}"/>
              </a:ext>
            </a:extLst>
          </xdr:cNvPr>
          <xdr:cNvGraphicFramePr>
            <a:graphicFrameLocks/>
          </xdr:cNvGraphicFramePr>
        </xdr:nvGraphicFramePr>
        <xdr:xfrm>
          <a:off x="8182659" y="4852924"/>
          <a:ext cx="3527171" cy="26880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6</xdr:col>
      <xdr:colOff>596120</xdr:colOff>
      <xdr:row>32</xdr:row>
      <xdr:rowOff>12959</xdr:rowOff>
    </xdr:from>
    <xdr:to>
      <xdr:col>13</xdr:col>
      <xdr:colOff>25918</xdr:colOff>
      <xdr:row>49</xdr:row>
      <xdr:rowOff>155310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2A0A7E1C-2D0E-00EE-B1C5-65BB1AE907F3}"/>
            </a:ext>
          </a:extLst>
        </xdr:cNvPr>
        <xdr:cNvGrpSpPr/>
      </xdr:nvGrpSpPr>
      <xdr:grpSpPr>
        <a:xfrm>
          <a:off x="4640794" y="6031655"/>
          <a:ext cx="4137081" cy="3193112"/>
          <a:chOff x="12237203" y="4918560"/>
          <a:chExt cx="4262034" cy="3190175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35A70F98-CF85-466A-9E97-C4C37808B5DC}"/>
              </a:ext>
            </a:extLst>
          </xdr:cNvPr>
          <xdr:cNvSpPr/>
        </xdr:nvSpPr>
        <xdr:spPr>
          <a:xfrm>
            <a:off x="12237203" y="4918560"/>
            <a:ext cx="4262034" cy="3190175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C96B399C-1283-4DF5-965F-16C6BCB2BFF1}"/>
              </a:ext>
            </a:extLst>
          </xdr:cNvPr>
          <xdr:cNvGraphicFramePr>
            <a:graphicFrameLocks/>
          </xdr:cNvGraphicFramePr>
        </xdr:nvGraphicFramePr>
        <xdr:xfrm>
          <a:off x="12351004" y="5165750"/>
          <a:ext cx="3976030" cy="26968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13</xdr:col>
      <xdr:colOff>362857</xdr:colOff>
      <xdr:row>31</xdr:row>
      <xdr:rowOff>180445</xdr:rowOff>
    </xdr:from>
    <xdr:to>
      <xdr:col>26</xdr:col>
      <xdr:colOff>466530</xdr:colOff>
      <xdr:row>49</xdr:row>
      <xdr:rowOff>180444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57580D29-8F15-55DC-44F5-EB1C887BDF92}"/>
            </a:ext>
          </a:extLst>
        </xdr:cNvPr>
        <xdr:cNvGrpSpPr/>
      </xdr:nvGrpSpPr>
      <xdr:grpSpPr>
        <a:xfrm>
          <a:off x="9114814" y="6019684"/>
          <a:ext cx="8717586" cy="3230217"/>
          <a:chOff x="893071" y="4774367"/>
          <a:chExt cx="6935126" cy="337278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3580F2A-101E-4DB1-908F-40E004D6992A}"/>
              </a:ext>
            </a:extLst>
          </xdr:cNvPr>
          <xdr:cNvSpPr/>
        </xdr:nvSpPr>
        <xdr:spPr>
          <a:xfrm>
            <a:off x="893071" y="4774367"/>
            <a:ext cx="6935126" cy="3372786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3A3DB4D4-2E48-42D8-8977-231B2290D720}"/>
              </a:ext>
            </a:extLst>
          </xdr:cNvPr>
          <xdr:cNvGraphicFramePr>
            <a:graphicFrameLocks/>
          </xdr:cNvGraphicFramePr>
        </xdr:nvGraphicFramePr>
        <xdr:xfrm>
          <a:off x="1229734" y="4882213"/>
          <a:ext cx="6247984" cy="30292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</xdr:col>
      <xdr:colOff>207348</xdr:colOff>
      <xdr:row>4</xdr:row>
      <xdr:rowOff>38878</xdr:rowOff>
    </xdr:from>
    <xdr:to>
      <xdr:col>5</xdr:col>
      <xdr:colOff>466532</xdr:colOff>
      <xdr:row>9</xdr:row>
      <xdr:rowOff>168470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187985A-BEB0-64D9-3B5E-1B7F81CAFD0C}"/>
            </a:ext>
          </a:extLst>
        </xdr:cNvPr>
        <xdr:cNvSpPr txBox="1"/>
      </xdr:nvSpPr>
      <xdr:spPr>
        <a:xfrm>
          <a:off x="207348" y="1036735"/>
          <a:ext cx="2319694" cy="103673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/>
            <a:t>Initial</a:t>
          </a:r>
          <a:r>
            <a:rPr lang="en-US" sz="2000" b="0" baseline="0"/>
            <a:t> </a:t>
          </a:r>
          <a:r>
            <a:rPr lang="en-US" sz="2000" b="0"/>
            <a:t>Denial Rate</a:t>
          </a:r>
        </a:p>
        <a:p>
          <a:pPr algn="ctr"/>
          <a:r>
            <a:rPr lang="en-US" sz="3200" b="1"/>
            <a:t>33%</a:t>
          </a:r>
        </a:p>
      </xdr:txBody>
    </xdr:sp>
    <xdr:clientData/>
  </xdr:twoCellAnchor>
  <xdr:twoCellAnchor>
    <xdr:from>
      <xdr:col>6</xdr:col>
      <xdr:colOff>126482</xdr:colOff>
      <xdr:row>4</xdr:row>
      <xdr:rowOff>48727</xdr:rowOff>
    </xdr:from>
    <xdr:to>
      <xdr:col>9</xdr:col>
      <xdr:colOff>385666</xdr:colOff>
      <xdr:row>9</xdr:row>
      <xdr:rowOff>178319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26EC0CD-A513-4F80-8A37-C5F08EDDBD0D}"/>
            </a:ext>
          </a:extLst>
        </xdr:cNvPr>
        <xdr:cNvSpPr txBox="1"/>
      </xdr:nvSpPr>
      <xdr:spPr>
        <a:xfrm>
          <a:off x="2847911" y="1046584"/>
          <a:ext cx="2241939" cy="103673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/>
            <a:t>Final</a:t>
          </a:r>
          <a:r>
            <a:rPr lang="en-US" sz="2000" b="0" baseline="0"/>
            <a:t> </a:t>
          </a:r>
          <a:r>
            <a:rPr lang="en-US" sz="2000" b="0"/>
            <a:t>Denial Rate</a:t>
          </a:r>
        </a:p>
        <a:p>
          <a:pPr algn="ctr"/>
          <a:r>
            <a:rPr lang="en-US" sz="3200" b="1"/>
            <a:t>22.8%</a:t>
          </a:r>
        </a:p>
      </xdr:txBody>
    </xdr:sp>
    <xdr:clientData/>
  </xdr:twoCellAnchor>
  <xdr:twoCellAnchor>
    <xdr:from>
      <xdr:col>10</xdr:col>
      <xdr:colOff>25921</xdr:colOff>
      <xdr:row>4</xdr:row>
      <xdr:rowOff>38877</xdr:rowOff>
    </xdr:from>
    <xdr:to>
      <xdr:col>14</xdr:col>
      <xdr:colOff>311021</xdr:colOff>
      <xdr:row>9</xdr:row>
      <xdr:rowOff>168469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3FB70DB-AFF1-424F-8F6E-28DB46749B0C}"/>
            </a:ext>
          </a:extLst>
        </xdr:cNvPr>
        <xdr:cNvSpPr txBox="1"/>
      </xdr:nvSpPr>
      <xdr:spPr>
        <a:xfrm>
          <a:off x="5391023" y="1036734"/>
          <a:ext cx="2928774" cy="103673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/>
            <a:t>Average Cost Per Month</a:t>
          </a:r>
        </a:p>
        <a:p>
          <a:pPr algn="ctr"/>
          <a:r>
            <a:rPr lang="en-US" sz="3200" b="1"/>
            <a:t>$14,603.20</a:t>
          </a:r>
        </a:p>
      </xdr:txBody>
    </xdr:sp>
    <xdr:clientData/>
  </xdr:twoCellAnchor>
  <xdr:twoCellAnchor>
    <xdr:from>
      <xdr:col>14</xdr:col>
      <xdr:colOff>583163</xdr:colOff>
      <xdr:row>3</xdr:row>
      <xdr:rowOff>168469</xdr:rowOff>
    </xdr:from>
    <xdr:to>
      <xdr:col>24</xdr:col>
      <xdr:colOff>479492</xdr:colOff>
      <xdr:row>10</xdr:row>
      <xdr:rowOff>38878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944A67D-EB2F-D42B-AA12-BEFF3F4F3521}"/>
            </a:ext>
          </a:extLst>
        </xdr:cNvPr>
        <xdr:cNvGrpSpPr/>
      </xdr:nvGrpSpPr>
      <xdr:grpSpPr>
        <a:xfrm>
          <a:off x="9997728" y="982926"/>
          <a:ext cx="6522416" cy="1126604"/>
          <a:chOff x="9254154" y="907144"/>
          <a:chExt cx="5240334" cy="125704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72453407-507D-4F1B-B7F9-FD17BBB5571E}"/>
              </a:ext>
            </a:extLst>
          </xdr:cNvPr>
          <xdr:cNvSpPr txBox="1"/>
        </xdr:nvSpPr>
        <xdr:spPr>
          <a:xfrm>
            <a:off x="9254154" y="978566"/>
            <a:ext cx="2149881" cy="1128480"/>
          </a:xfrm>
          <a:prstGeom prst="roundRect">
            <a:avLst/>
          </a:prstGeom>
          <a:solidFill>
            <a:schemeClr val="accent2">
              <a:lumMod val="20000"/>
              <a:lumOff val="80000"/>
            </a:schemeClr>
          </a:solidFill>
          <a:ln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 baseline="0"/>
              <a:t>Top 3 Denial Reasons:</a:t>
            </a:r>
            <a:endParaRPr lang="en-US" sz="3600" b="1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32A08D42-7CC8-4B40-847D-205038A8303F}"/>
              </a:ext>
            </a:extLst>
          </xdr:cNvPr>
          <xdr:cNvSpPr txBox="1"/>
        </xdr:nvSpPr>
        <xdr:spPr>
          <a:xfrm>
            <a:off x="11581563" y="907144"/>
            <a:ext cx="2912925" cy="1257040"/>
          </a:xfrm>
          <a:prstGeom prst="roundRect">
            <a:avLst/>
          </a:prstGeom>
          <a:solidFill>
            <a:schemeClr val="accent2">
              <a:lumMod val="20000"/>
              <a:lumOff val="80000"/>
            </a:schemeClr>
          </a:solidFill>
          <a:ln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342900" indent="-342900" algn="l">
              <a:buFont typeface="Arial" panose="020B0604020202020204" pitchFamily="34" charset="0"/>
              <a:buChar char="•"/>
            </a:pPr>
            <a:r>
              <a:rPr lang="en-US" sz="2000" b="0"/>
              <a:t>Authorization not obtained</a:t>
            </a:r>
          </a:p>
          <a:p>
            <a:pPr marL="342900" indent="-342900" algn="l">
              <a:buFont typeface="Arial" panose="020B0604020202020204" pitchFamily="34" charset="0"/>
              <a:buChar char="•"/>
            </a:pPr>
            <a:r>
              <a:rPr lang="en-US" sz="2000" b="0"/>
              <a:t>Patient eligibility issues</a:t>
            </a:r>
          </a:p>
          <a:p>
            <a:pPr marL="342900" indent="-342900" algn="l">
              <a:buFont typeface="Arial" panose="020B0604020202020204" pitchFamily="34" charset="0"/>
              <a:buChar char="•"/>
            </a:pPr>
            <a:r>
              <a:rPr lang="en-US" sz="2000" b="0"/>
              <a:t>Incorrect billing information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Onyedinma" refreshedDate="46124.872673032405" createdVersion="8" refreshedVersion="8" minRefreshableVersion="3" recordCount="751" xr:uid="{F2AECC5B-DE51-412B-98B0-E50237813211}">
  <cacheSource type="worksheet">
    <worksheetSource name="claim_data"/>
  </cacheSource>
  <cacheFields count="15">
    <cacheField name="Claim ID" numFmtId="0">
      <sharedItems/>
    </cacheField>
    <cacheField name="Provider ID" numFmtId="0">
      <sharedItems containsSemiMixedTypes="0" containsString="0" containsNumber="1" containsInteger="1" minValue="12980889" maxValue="9991055906"/>
    </cacheField>
    <cacheField name="Patient ID" numFmtId="0">
      <sharedItems containsSemiMixedTypes="0" containsString="0" containsNumber="1" containsInteger="1" minValue="9455298" maxValue="9964057423"/>
    </cacheField>
    <cacheField name="Month" numFmtId="0">
      <sharedItems count="5">
        <s v="June"/>
        <s v="July"/>
        <s v="May"/>
        <s v="August"/>
        <s v="September"/>
      </sharedItems>
    </cacheField>
    <cacheField name="Billed Amount" numFmtId="165">
      <sharedItems containsSemiMixedTypes="0" containsString="0" containsNumber="1" containsInteger="1" minValue="101" maxValue="499"/>
    </cacheField>
    <cacheField name="Paid Amount" numFmtId="165">
      <sharedItems containsSemiMixedTypes="0" containsString="0" containsNumber="1" containsInteger="1" minValue="0" maxValue="499"/>
    </cacheField>
    <cacheField name="Remaining Balance" numFmtId="165">
      <sharedItems containsSemiMixedTypes="0" containsString="0" containsNumber="1" containsInteger="1" minValue="0" maxValue="499"/>
    </cacheField>
    <cacheField name="Procedure Code" numFmtId="0">
      <sharedItems count="10">
        <s v="99213"/>
        <s v="99215"/>
        <s v="99238"/>
        <s v="99221"/>
        <s v="99223"/>
        <s v="99233"/>
        <s v="99231"/>
        <s v="99214"/>
        <s v="99222"/>
        <s v="99232"/>
      </sharedItems>
    </cacheField>
    <cacheField name="Diagnosis Code" numFmtId="0">
      <sharedItems count="100">
        <s v="A16.5"/>
        <s v="A00.1"/>
        <s v="A18.6"/>
        <s v="A17.9"/>
        <s v="A01.9"/>
        <s v="A07.8"/>
        <s v="A05.4"/>
        <s v="A09.9"/>
        <s v="A03.9"/>
        <s v="A02.2"/>
        <s v="A06.0"/>
        <s v="A07.0"/>
        <s v="A03.3"/>
        <s v="A00.9"/>
        <s v="A05.0"/>
        <s v="A04.2"/>
        <s v="A08.1"/>
        <s v="A06.8"/>
        <s v="A16.3"/>
        <s v="A18.1"/>
        <s v="A19.8"/>
        <s v="A16.8"/>
        <s v="A18.7"/>
        <s v="A04.6"/>
        <s v="A05.7"/>
        <s v="A06.3"/>
        <s v="A16.1"/>
        <s v="A09.0"/>
        <s v="A06.7"/>
        <s v="A17.8"/>
        <s v="A06.5"/>
        <s v="A01.4"/>
        <s v="A01.3"/>
        <s v="A00.0"/>
        <s v="A18.8"/>
        <s v="A19.1"/>
        <s v="A01.6"/>
        <s v="A03.8"/>
        <s v="A17.0"/>
        <s v="A19.9"/>
        <s v="A05.1"/>
        <s v="A04.1"/>
        <s v="A07.1"/>
        <s v="A02.1"/>
        <s v="A04.0"/>
        <s v="A04.3"/>
        <s v="A02.9"/>
        <s v="A19.0"/>
        <s v="A04.7"/>
        <s v="A16.4"/>
        <s v="A05.6"/>
        <s v="A07.9"/>
        <s v="A16.9"/>
        <s v="A01.1"/>
        <s v="A04.5"/>
        <s v="A18.0"/>
        <s v="A18.9"/>
        <s v="A08.8"/>
        <s v="A16.2"/>
        <s v="A15.0"/>
        <s v="A18.3"/>
        <s v="A05.2"/>
        <s v="A02.3"/>
        <s v="A07.3"/>
        <s v="A02.4"/>
        <s v="A17.1"/>
        <s v="A02.8"/>
        <s v="A01.0"/>
        <s v="A08.2"/>
        <s v="A04.8"/>
        <s v="A18.2"/>
        <s v="A06.9"/>
        <s v="A01.2"/>
        <s v="A05.9"/>
        <s v="A15.9"/>
        <s v="A05.3"/>
        <s v="A01.5"/>
        <s v="A06.6"/>
        <s v="A08.9"/>
        <s v="A06.2"/>
        <s v="A08.0"/>
        <s v="A06.1"/>
        <s v="A08.3"/>
        <s v="A05.5"/>
        <s v="A16.7"/>
        <s v="A18.5"/>
        <s v="A16.0"/>
        <s v="A03.2"/>
        <s v="A18.4"/>
        <s v="A02.0"/>
        <s v="A05.8"/>
        <s v="A15.1"/>
        <s v="A03.1"/>
        <s v="A03.0"/>
        <s v="A04.9"/>
        <s v="A08.4"/>
        <s v="A08.5"/>
        <s v="A07.2"/>
        <s v="A04.4"/>
        <s v="A06.4"/>
      </sharedItems>
    </cacheField>
    <cacheField name="Insurance Type" numFmtId="0">
      <sharedItems count="3">
        <s v="Medicare"/>
        <s v="Commercial"/>
        <s v="Medicaid"/>
      </sharedItems>
    </cacheField>
    <cacheField name="Initial Claim Status" numFmtId="0">
      <sharedItems count="3">
        <s v="Paid"/>
        <s v="Under Review"/>
        <s v="Denied"/>
      </sharedItems>
    </cacheField>
    <cacheField name="Final Claim Status" numFmtId="0">
      <sharedItems count="3">
        <s v="Paid"/>
        <s v="Denied"/>
        <s v="Partially Paid"/>
      </sharedItems>
    </cacheField>
    <cacheField name="Reason Code" numFmtId="0">
      <sharedItems count="9">
        <s v="N/A"/>
        <s v="Duplicate claim"/>
        <s v="Authorization not obtained"/>
        <s v="Incorrect billing information"/>
        <s v="Patient eligibility issues"/>
        <s v="Pre-existing condition"/>
        <s v="Lack of medical necessity"/>
        <s v="Service not covered"/>
        <s v="Missing documentation"/>
      </sharedItems>
    </cacheField>
    <cacheField name="Average Cost to Work" numFmtId="0" formula="'Initial Claim Status'* 44" databaseField="0"/>
    <cacheField name="Avg Count of Claim Status" numFmtId="0" formula="AVERAGE(COUNT('Initial Claim Status'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1">
  <r>
    <s v="9U86CI2P5A"/>
    <n v="6986719948"/>
    <n v="1547160031"/>
    <x v="0"/>
    <n v="348"/>
    <n v="348"/>
    <n v="0"/>
    <x v="0"/>
    <x v="0"/>
    <x v="0"/>
    <x v="0"/>
    <x v="0"/>
    <x v="0"/>
  </r>
  <r>
    <s v="1QEU1AIDAU"/>
    <n v="1355108115"/>
    <n v="2611585318"/>
    <x v="1"/>
    <n v="235"/>
    <n v="0"/>
    <n v="235"/>
    <x v="0"/>
    <x v="1"/>
    <x v="1"/>
    <x v="1"/>
    <x v="1"/>
    <x v="1"/>
  </r>
  <r>
    <s v="WH7XDS8CEO"/>
    <n v="9991055906"/>
    <n v="7167948632"/>
    <x v="2"/>
    <n v="112"/>
    <n v="0"/>
    <n v="112"/>
    <x v="1"/>
    <x v="2"/>
    <x v="0"/>
    <x v="2"/>
    <x v="1"/>
    <x v="2"/>
  </r>
  <r>
    <s v="M6OJEZ8KGI"/>
    <n v="7382167012"/>
    <n v="2140226267"/>
    <x v="1"/>
    <n v="406"/>
    <n v="0"/>
    <n v="406"/>
    <x v="2"/>
    <x v="3"/>
    <x v="0"/>
    <x v="2"/>
    <x v="1"/>
    <x v="2"/>
  </r>
  <r>
    <s v="G7C9QQKWHN"/>
    <n v="4996652383"/>
    <n v="1558663046"/>
    <x v="1"/>
    <n v="358"/>
    <n v="358"/>
    <n v="0"/>
    <x v="3"/>
    <x v="4"/>
    <x v="0"/>
    <x v="2"/>
    <x v="0"/>
    <x v="3"/>
  </r>
  <r>
    <s v="GTGZLOTL2C"/>
    <n v="7437563222"/>
    <n v="5362322108"/>
    <x v="2"/>
    <n v="365"/>
    <n v="365"/>
    <n v="0"/>
    <x v="0"/>
    <x v="5"/>
    <x v="2"/>
    <x v="1"/>
    <x v="0"/>
    <x v="4"/>
  </r>
  <r>
    <s v="TLU7MTJ63J"/>
    <n v="6675789567"/>
    <n v="1861061750"/>
    <x v="1"/>
    <n v="126"/>
    <n v="108"/>
    <n v="18"/>
    <x v="2"/>
    <x v="6"/>
    <x v="0"/>
    <x v="2"/>
    <x v="2"/>
    <x v="2"/>
  </r>
  <r>
    <s v="44K5PG8X8S"/>
    <n v="7933652528"/>
    <n v="2435590086"/>
    <x v="2"/>
    <n v="342"/>
    <n v="342"/>
    <n v="0"/>
    <x v="3"/>
    <x v="7"/>
    <x v="0"/>
    <x v="0"/>
    <x v="0"/>
    <x v="0"/>
  </r>
  <r>
    <s v="TO2JYK61C0"/>
    <n v="2267536625"/>
    <n v="825710946"/>
    <x v="2"/>
    <n v="141"/>
    <n v="81"/>
    <n v="60"/>
    <x v="3"/>
    <x v="8"/>
    <x v="0"/>
    <x v="1"/>
    <x v="2"/>
    <x v="5"/>
  </r>
  <r>
    <s v="DOX1BBCXK5"/>
    <n v="5416951835"/>
    <n v="7549905083"/>
    <x v="2"/>
    <n v="113"/>
    <n v="0"/>
    <n v="113"/>
    <x v="4"/>
    <x v="9"/>
    <x v="2"/>
    <x v="1"/>
    <x v="1"/>
    <x v="6"/>
  </r>
  <r>
    <s v="2ETLXC20SI"/>
    <n v="3512772966"/>
    <n v="7459859155"/>
    <x v="0"/>
    <n v="162"/>
    <n v="162"/>
    <n v="0"/>
    <x v="5"/>
    <x v="10"/>
    <x v="1"/>
    <x v="2"/>
    <x v="0"/>
    <x v="2"/>
  </r>
  <r>
    <s v="2VO26C5QLH"/>
    <n v="1637431064"/>
    <n v="651880351"/>
    <x v="3"/>
    <n v="493"/>
    <n v="493"/>
    <n v="0"/>
    <x v="5"/>
    <x v="11"/>
    <x v="2"/>
    <x v="0"/>
    <x v="0"/>
    <x v="0"/>
  </r>
  <r>
    <s v="BCCMJ8LJ96"/>
    <n v="3104304757"/>
    <n v="5311844927"/>
    <x v="1"/>
    <n v="260"/>
    <n v="0"/>
    <n v="260"/>
    <x v="0"/>
    <x v="12"/>
    <x v="2"/>
    <x v="2"/>
    <x v="1"/>
    <x v="4"/>
  </r>
  <r>
    <s v="08283DU65I"/>
    <n v="9639529144"/>
    <n v="177264715"/>
    <x v="3"/>
    <n v="126"/>
    <n v="0"/>
    <n v="126"/>
    <x v="3"/>
    <x v="13"/>
    <x v="2"/>
    <x v="1"/>
    <x v="1"/>
    <x v="1"/>
  </r>
  <r>
    <s v="1EO0LLBIBO"/>
    <n v="7500072920"/>
    <n v="7385589180"/>
    <x v="4"/>
    <n v="311"/>
    <n v="311"/>
    <n v="0"/>
    <x v="6"/>
    <x v="14"/>
    <x v="2"/>
    <x v="1"/>
    <x v="0"/>
    <x v="7"/>
  </r>
  <r>
    <s v="640R5YIQ6A"/>
    <n v="6359854192"/>
    <n v="6031973951"/>
    <x v="3"/>
    <n v="408"/>
    <n v="408"/>
    <n v="0"/>
    <x v="7"/>
    <x v="15"/>
    <x v="2"/>
    <x v="0"/>
    <x v="0"/>
    <x v="0"/>
  </r>
  <r>
    <s v="T3ZDMQHOSX"/>
    <n v="2491663842"/>
    <n v="6867451346"/>
    <x v="1"/>
    <n v="146"/>
    <n v="99"/>
    <n v="47"/>
    <x v="0"/>
    <x v="16"/>
    <x v="2"/>
    <x v="1"/>
    <x v="2"/>
    <x v="2"/>
  </r>
  <r>
    <s v="P5FJOMYEDC"/>
    <n v="542828755"/>
    <n v="6256271979"/>
    <x v="0"/>
    <n v="150"/>
    <n v="150"/>
    <n v="0"/>
    <x v="4"/>
    <x v="17"/>
    <x v="1"/>
    <x v="2"/>
    <x v="0"/>
    <x v="2"/>
  </r>
  <r>
    <s v="TCXP3XFFDS"/>
    <n v="5725279994"/>
    <n v="2860208500"/>
    <x v="1"/>
    <n v="285"/>
    <n v="285"/>
    <n v="0"/>
    <x v="0"/>
    <x v="18"/>
    <x v="0"/>
    <x v="0"/>
    <x v="0"/>
    <x v="0"/>
  </r>
  <r>
    <s v="IF5G6HAB92"/>
    <n v="2554215460"/>
    <n v="5372537165"/>
    <x v="1"/>
    <n v="139"/>
    <n v="139"/>
    <n v="0"/>
    <x v="8"/>
    <x v="19"/>
    <x v="2"/>
    <x v="0"/>
    <x v="0"/>
    <x v="0"/>
  </r>
  <r>
    <s v="IFXQAH3MIK"/>
    <n v="7302133328"/>
    <n v="6938202039"/>
    <x v="0"/>
    <n v="126"/>
    <n v="71"/>
    <n v="55"/>
    <x v="2"/>
    <x v="20"/>
    <x v="0"/>
    <x v="2"/>
    <x v="2"/>
    <x v="7"/>
  </r>
  <r>
    <s v="2SARP2I5H9"/>
    <n v="5948416270"/>
    <n v="3734914882"/>
    <x v="1"/>
    <n v="160"/>
    <n v="0"/>
    <n v="160"/>
    <x v="3"/>
    <x v="21"/>
    <x v="1"/>
    <x v="1"/>
    <x v="1"/>
    <x v="7"/>
  </r>
  <r>
    <s v="RWKH596U64"/>
    <n v="4538399253"/>
    <n v="6085203521"/>
    <x v="3"/>
    <n v="308"/>
    <n v="308"/>
    <n v="0"/>
    <x v="8"/>
    <x v="22"/>
    <x v="1"/>
    <x v="2"/>
    <x v="0"/>
    <x v="6"/>
  </r>
  <r>
    <s v="UH0C4B3YR5"/>
    <n v="6779644831"/>
    <n v="5435853343"/>
    <x v="2"/>
    <n v="416"/>
    <n v="416"/>
    <n v="0"/>
    <x v="3"/>
    <x v="23"/>
    <x v="1"/>
    <x v="0"/>
    <x v="0"/>
    <x v="0"/>
  </r>
  <r>
    <s v="G7DPHO9I6X"/>
    <n v="2308971249"/>
    <n v="4541238668"/>
    <x v="3"/>
    <n v="170"/>
    <n v="170"/>
    <n v="0"/>
    <x v="7"/>
    <x v="24"/>
    <x v="1"/>
    <x v="0"/>
    <x v="0"/>
    <x v="0"/>
  </r>
  <r>
    <s v="AYT4TJVKH7"/>
    <n v="3356892406"/>
    <n v="8155075476"/>
    <x v="1"/>
    <n v="202"/>
    <n v="202"/>
    <n v="0"/>
    <x v="1"/>
    <x v="25"/>
    <x v="2"/>
    <x v="0"/>
    <x v="0"/>
    <x v="0"/>
  </r>
  <r>
    <s v="LDWX5I35Y9"/>
    <n v="7576667741"/>
    <n v="4812043647"/>
    <x v="4"/>
    <n v="142"/>
    <n v="142"/>
    <n v="0"/>
    <x v="4"/>
    <x v="26"/>
    <x v="0"/>
    <x v="0"/>
    <x v="0"/>
    <x v="0"/>
  </r>
  <r>
    <s v="U45AZS93YA"/>
    <n v="276875673"/>
    <n v="2413503202"/>
    <x v="1"/>
    <n v="363"/>
    <n v="363"/>
    <n v="0"/>
    <x v="2"/>
    <x v="1"/>
    <x v="2"/>
    <x v="2"/>
    <x v="0"/>
    <x v="5"/>
  </r>
  <r>
    <s v="W2X0AC9IUT"/>
    <n v="7209147346"/>
    <n v="227390225"/>
    <x v="0"/>
    <n v="237"/>
    <n v="237"/>
    <n v="0"/>
    <x v="5"/>
    <x v="27"/>
    <x v="2"/>
    <x v="0"/>
    <x v="0"/>
    <x v="0"/>
  </r>
  <r>
    <s v="1OKE09QSKL"/>
    <n v="8981531916"/>
    <n v="4890820005"/>
    <x v="3"/>
    <n v="410"/>
    <n v="410"/>
    <n v="0"/>
    <x v="1"/>
    <x v="28"/>
    <x v="1"/>
    <x v="0"/>
    <x v="0"/>
    <x v="0"/>
  </r>
  <r>
    <s v="PHOAQ5H154"/>
    <n v="8276621620"/>
    <n v="2120452751"/>
    <x v="0"/>
    <n v="324"/>
    <n v="191"/>
    <n v="133"/>
    <x v="2"/>
    <x v="29"/>
    <x v="1"/>
    <x v="2"/>
    <x v="2"/>
    <x v="5"/>
  </r>
  <r>
    <s v="NSK6R4LGQ4"/>
    <n v="1812478896"/>
    <n v="650225685"/>
    <x v="4"/>
    <n v="148"/>
    <n v="148"/>
    <n v="0"/>
    <x v="6"/>
    <x v="30"/>
    <x v="2"/>
    <x v="0"/>
    <x v="0"/>
    <x v="0"/>
  </r>
  <r>
    <s v="MCJ9C4ZQPO"/>
    <n v="1050854260"/>
    <n v="2515811371"/>
    <x v="3"/>
    <n v="327"/>
    <n v="194"/>
    <n v="133"/>
    <x v="6"/>
    <x v="31"/>
    <x v="1"/>
    <x v="2"/>
    <x v="2"/>
    <x v="6"/>
  </r>
  <r>
    <s v="82R3QQ9VPC"/>
    <n v="4570094483"/>
    <n v="1098138200"/>
    <x v="2"/>
    <n v="447"/>
    <n v="380"/>
    <n v="67"/>
    <x v="8"/>
    <x v="32"/>
    <x v="2"/>
    <x v="1"/>
    <x v="2"/>
    <x v="4"/>
  </r>
  <r>
    <s v="RWB3CY2N3R"/>
    <n v="7247268045"/>
    <n v="2997330433"/>
    <x v="3"/>
    <n v="370"/>
    <n v="370"/>
    <n v="0"/>
    <x v="1"/>
    <x v="7"/>
    <x v="0"/>
    <x v="0"/>
    <x v="0"/>
    <x v="0"/>
  </r>
  <r>
    <s v="NHHPZSIUQ1"/>
    <n v="3019535482"/>
    <n v="8728813610"/>
    <x v="1"/>
    <n v="336"/>
    <n v="0"/>
    <n v="336"/>
    <x v="3"/>
    <x v="33"/>
    <x v="2"/>
    <x v="2"/>
    <x v="1"/>
    <x v="4"/>
  </r>
  <r>
    <s v="SXA0Y4D2F4"/>
    <n v="8063697945"/>
    <n v="1059834782"/>
    <x v="2"/>
    <n v="171"/>
    <n v="0"/>
    <n v="171"/>
    <x v="3"/>
    <x v="10"/>
    <x v="2"/>
    <x v="1"/>
    <x v="1"/>
    <x v="4"/>
  </r>
  <r>
    <s v="YRWDW54QCU"/>
    <n v="8492770453"/>
    <n v="1979531776"/>
    <x v="2"/>
    <n v="448"/>
    <n v="282"/>
    <n v="166"/>
    <x v="2"/>
    <x v="34"/>
    <x v="1"/>
    <x v="2"/>
    <x v="2"/>
    <x v="8"/>
  </r>
  <r>
    <s v="XFZSM9KRYN"/>
    <n v="419744224"/>
    <n v="3530230251"/>
    <x v="3"/>
    <n v="412"/>
    <n v="0"/>
    <n v="412"/>
    <x v="6"/>
    <x v="35"/>
    <x v="1"/>
    <x v="2"/>
    <x v="1"/>
    <x v="2"/>
  </r>
  <r>
    <s v="AVDFWNW7BN"/>
    <n v="4235285205"/>
    <n v="5791901788"/>
    <x v="4"/>
    <n v="323"/>
    <n v="323"/>
    <n v="0"/>
    <x v="6"/>
    <x v="34"/>
    <x v="1"/>
    <x v="1"/>
    <x v="0"/>
    <x v="4"/>
  </r>
  <r>
    <s v="6S2L1EFYSK"/>
    <n v="9136687343"/>
    <n v="4077717881"/>
    <x v="3"/>
    <n v="465"/>
    <n v="465"/>
    <n v="0"/>
    <x v="9"/>
    <x v="36"/>
    <x v="0"/>
    <x v="0"/>
    <x v="0"/>
    <x v="0"/>
  </r>
  <r>
    <s v="U9APUQPEOK"/>
    <n v="408094325"/>
    <n v="4051116656"/>
    <x v="4"/>
    <n v="284"/>
    <n v="284"/>
    <n v="0"/>
    <x v="7"/>
    <x v="37"/>
    <x v="2"/>
    <x v="0"/>
    <x v="0"/>
    <x v="0"/>
  </r>
  <r>
    <s v="1L74T6EQHS"/>
    <n v="5126071490"/>
    <n v="8741252865"/>
    <x v="0"/>
    <n v="111"/>
    <n v="90"/>
    <n v="21"/>
    <x v="5"/>
    <x v="38"/>
    <x v="2"/>
    <x v="1"/>
    <x v="2"/>
    <x v="7"/>
  </r>
  <r>
    <s v="HEDXUK78NG"/>
    <n v="4152060505"/>
    <n v="7964379382"/>
    <x v="1"/>
    <n v="107"/>
    <n v="107"/>
    <n v="0"/>
    <x v="4"/>
    <x v="10"/>
    <x v="1"/>
    <x v="0"/>
    <x v="0"/>
    <x v="0"/>
  </r>
  <r>
    <s v="OZ0STLJCOJ"/>
    <n v="6078976241"/>
    <n v="9923426343"/>
    <x v="3"/>
    <n v="401"/>
    <n v="354"/>
    <n v="47"/>
    <x v="0"/>
    <x v="39"/>
    <x v="2"/>
    <x v="1"/>
    <x v="2"/>
    <x v="5"/>
  </r>
  <r>
    <s v="7TSWS4AHEN"/>
    <n v="9229693925"/>
    <n v="1321174155"/>
    <x v="1"/>
    <n v="439"/>
    <n v="439"/>
    <n v="0"/>
    <x v="2"/>
    <x v="40"/>
    <x v="1"/>
    <x v="1"/>
    <x v="0"/>
    <x v="7"/>
  </r>
  <r>
    <s v="RD48W0M9WX"/>
    <n v="2023714323"/>
    <n v="8539029014"/>
    <x v="3"/>
    <n v="442"/>
    <n v="442"/>
    <n v="0"/>
    <x v="5"/>
    <x v="41"/>
    <x v="2"/>
    <x v="2"/>
    <x v="0"/>
    <x v="2"/>
  </r>
  <r>
    <s v="PRD42TVDPG"/>
    <n v="3171908963"/>
    <n v="1546370434"/>
    <x v="1"/>
    <n v="481"/>
    <n v="0"/>
    <n v="481"/>
    <x v="4"/>
    <x v="42"/>
    <x v="1"/>
    <x v="2"/>
    <x v="1"/>
    <x v="6"/>
  </r>
  <r>
    <s v="L89UDLJ2NI"/>
    <n v="1195127701"/>
    <n v="6284611941"/>
    <x v="1"/>
    <n v="215"/>
    <n v="169"/>
    <n v="46"/>
    <x v="5"/>
    <x v="30"/>
    <x v="0"/>
    <x v="1"/>
    <x v="2"/>
    <x v="5"/>
  </r>
  <r>
    <s v="PKDYQLLP1T"/>
    <n v="2654498331"/>
    <n v="3729784516"/>
    <x v="2"/>
    <n v="148"/>
    <n v="148"/>
    <n v="0"/>
    <x v="0"/>
    <x v="41"/>
    <x v="0"/>
    <x v="1"/>
    <x v="0"/>
    <x v="2"/>
  </r>
  <r>
    <s v="70RB2DX72C"/>
    <n v="708762197"/>
    <n v="4205246369"/>
    <x v="4"/>
    <n v="372"/>
    <n v="372"/>
    <n v="0"/>
    <x v="9"/>
    <x v="43"/>
    <x v="2"/>
    <x v="0"/>
    <x v="0"/>
    <x v="0"/>
  </r>
  <r>
    <s v="687AAGZGYM"/>
    <n v="3441938166"/>
    <n v="6776958126"/>
    <x v="2"/>
    <n v="229"/>
    <n v="229"/>
    <n v="0"/>
    <x v="9"/>
    <x v="44"/>
    <x v="0"/>
    <x v="2"/>
    <x v="0"/>
    <x v="3"/>
  </r>
  <r>
    <s v="JNFJSO06YF"/>
    <n v="8696539003"/>
    <n v="675301779"/>
    <x v="3"/>
    <n v="232"/>
    <n v="0"/>
    <n v="232"/>
    <x v="9"/>
    <x v="13"/>
    <x v="1"/>
    <x v="2"/>
    <x v="1"/>
    <x v="6"/>
  </r>
  <r>
    <s v="NNDPDP4PUX"/>
    <n v="8913310207"/>
    <n v="7902267408"/>
    <x v="0"/>
    <n v="148"/>
    <n v="148"/>
    <n v="0"/>
    <x v="0"/>
    <x v="25"/>
    <x v="1"/>
    <x v="2"/>
    <x v="0"/>
    <x v="5"/>
  </r>
  <r>
    <s v="P4M0WYYASU"/>
    <n v="7906330632"/>
    <n v="7028319467"/>
    <x v="0"/>
    <n v="446"/>
    <n v="276"/>
    <n v="170"/>
    <x v="6"/>
    <x v="43"/>
    <x v="2"/>
    <x v="1"/>
    <x v="2"/>
    <x v="5"/>
  </r>
  <r>
    <s v="MR88OM31L0"/>
    <n v="4573858938"/>
    <n v="5161266192"/>
    <x v="2"/>
    <n v="189"/>
    <n v="189"/>
    <n v="0"/>
    <x v="6"/>
    <x v="32"/>
    <x v="1"/>
    <x v="0"/>
    <x v="0"/>
    <x v="0"/>
  </r>
  <r>
    <s v="HQFAB2SMC9"/>
    <n v="2997473762"/>
    <n v="9486352619"/>
    <x v="0"/>
    <n v="197"/>
    <n v="0"/>
    <n v="197"/>
    <x v="3"/>
    <x v="45"/>
    <x v="1"/>
    <x v="2"/>
    <x v="1"/>
    <x v="5"/>
  </r>
  <r>
    <s v="3XOA6SC9QY"/>
    <n v="12980889"/>
    <n v="8819306236"/>
    <x v="0"/>
    <n v="465"/>
    <n v="465"/>
    <n v="0"/>
    <x v="7"/>
    <x v="46"/>
    <x v="0"/>
    <x v="2"/>
    <x v="0"/>
    <x v="5"/>
  </r>
  <r>
    <s v="UETPKIKATP"/>
    <n v="5280104835"/>
    <n v="1789165968"/>
    <x v="1"/>
    <n v="343"/>
    <n v="343"/>
    <n v="0"/>
    <x v="4"/>
    <x v="47"/>
    <x v="2"/>
    <x v="0"/>
    <x v="0"/>
    <x v="0"/>
  </r>
  <r>
    <s v="1L48S5IGVD"/>
    <n v="8112806771"/>
    <n v="3777491682"/>
    <x v="3"/>
    <n v="146"/>
    <n v="112"/>
    <n v="34"/>
    <x v="3"/>
    <x v="19"/>
    <x v="0"/>
    <x v="2"/>
    <x v="2"/>
    <x v="7"/>
  </r>
  <r>
    <s v="3JPU21TOE9"/>
    <n v="1421984485"/>
    <n v="9846240441"/>
    <x v="0"/>
    <n v="211"/>
    <n v="0"/>
    <n v="211"/>
    <x v="0"/>
    <x v="48"/>
    <x v="2"/>
    <x v="2"/>
    <x v="1"/>
    <x v="6"/>
  </r>
  <r>
    <s v="7M8ZDCDCTG"/>
    <n v="7430490581"/>
    <n v="2607334190"/>
    <x v="2"/>
    <n v="262"/>
    <n v="262"/>
    <n v="0"/>
    <x v="5"/>
    <x v="29"/>
    <x v="1"/>
    <x v="2"/>
    <x v="0"/>
    <x v="7"/>
  </r>
  <r>
    <s v="HCL9H8CQGO"/>
    <n v="3379246963"/>
    <n v="9529983798"/>
    <x v="3"/>
    <n v="247"/>
    <n v="247"/>
    <n v="0"/>
    <x v="7"/>
    <x v="49"/>
    <x v="2"/>
    <x v="0"/>
    <x v="0"/>
    <x v="0"/>
  </r>
  <r>
    <s v="3JA9PT2RH3"/>
    <n v="8568987770"/>
    <n v="2319430074"/>
    <x v="1"/>
    <n v="261"/>
    <n v="0"/>
    <n v="261"/>
    <x v="7"/>
    <x v="10"/>
    <x v="0"/>
    <x v="1"/>
    <x v="1"/>
    <x v="1"/>
  </r>
  <r>
    <s v="W8SPOELELC"/>
    <n v="9141687046"/>
    <n v="1594441000"/>
    <x v="4"/>
    <n v="390"/>
    <n v="390"/>
    <n v="0"/>
    <x v="7"/>
    <x v="50"/>
    <x v="1"/>
    <x v="2"/>
    <x v="0"/>
    <x v="5"/>
  </r>
  <r>
    <s v="N7604XMPSX"/>
    <n v="2934790390"/>
    <n v="9281274132"/>
    <x v="3"/>
    <n v="258"/>
    <n v="0"/>
    <n v="258"/>
    <x v="1"/>
    <x v="20"/>
    <x v="0"/>
    <x v="1"/>
    <x v="1"/>
    <x v="5"/>
  </r>
  <r>
    <s v="53DW6Z56H1"/>
    <n v="6054155533"/>
    <n v="2988457310"/>
    <x v="0"/>
    <n v="216"/>
    <n v="216"/>
    <n v="0"/>
    <x v="9"/>
    <x v="38"/>
    <x v="2"/>
    <x v="1"/>
    <x v="0"/>
    <x v="2"/>
  </r>
  <r>
    <s v="6YZ62OZFAN"/>
    <n v="7250496484"/>
    <n v="7875729862"/>
    <x v="4"/>
    <n v="154"/>
    <n v="106"/>
    <n v="48"/>
    <x v="7"/>
    <x v="17"/>
    <x v="1"/>
    <x v="1"/>
    <x v="2"/>
    <x v="8"/>
  </r>
  <r>
    <s v="BYQIHBG8AD"/>
    <n v="1708309636"/>
    <n v="8858713626"/>
    <x v="2"/>
    <n v="231"/>
    <n v="231"/>
    <n v="0"/>
    <x v="0"/>
    <x v="51"/>
    <x v="1"/>
    <x v="0"/>
    <x v="0"/>
    <x v="0"/>
  </r>
  <r>
    <s v="7KGAUFE3MK"/>
    <n v="6621776033"/>
    <n v="6848726866"/>
    <x v="0"/>
    <n v="241"/>
    <n v="241"/>
    <n v="0"/>
    <x v="8"/>
    <x v="1"/>
    <x v="0"/>
    <x v="1"/>
    <x v="0"/>
    <x v="4"/>
  </r>
  <r>
    <s v="6WVZ1JS19L"/>
    <n v="4239455371"/>
    <n v="2026702062"/>
    <x v="2"/>
    <n v="348"/>
    <n v="348"/>
    <n v="0"/>
    <x v="9"/>
    <x v="52"/>
    <x v="1"/>
    <x v="1"/>
    <x v="0"/>
    <x v="5"/>
  </r>
  <r>
    <s v="BDK55VFH1X"/>
    <n v="9655668275"/>
    <n v="7892802927"/>
    <x v="3"/>
    <n v="451"/>
    <n v="451"/>
    <n v="0"/>
    <x v="2"/>
    <x v="53"/>
    <x v="2"/>
    <x v="2"/>
    <x v="0"/>
    <x v="6"/>
  </r>
  <r>
    <s v="SD9AW0B386"/>
    <n v="7144619443"/>
    <n v="8693623852"/>
    <x v="1"/>
    <n v="237"/>
    <n v="0"/>
    <n v="237"/>
    <x v="8"/>
    <x v="43"/>
    <x v="1"/>
    <x v="1"/>
    <x v="1"/>
    <x v="6"/>
  </r>
  <r>
    <s v="MH2GKOI48N"/>
    <n v="7026003411"/>
    <n v="9916886713"/>
    <x v="0"/>
    <n v="480"/>
    <n v="0"/>
    <n v="480"/>
    <x v="3"/>
    <x v="54"/>
    <x v="1"/>
    <x v="2"/>
    <x v="1"/>
    <x v="3"/>
  </r>
  <r>
    <s v="8BYBEXV9ID"/>
    <n v="1695998542"/>
    <n v="9479375930"/>
    <x v="0"/>
    <n v="319"/>
    <n v="217"/>
    <n v="102"/>
    <x v="5"/>
    <x v="17"/>
    <x v="1"/>
    <x v="2"/>
    <x v="2"/>
    <x v="2"/>
  </r>
  <r>
    <s v="0U7E1EAUSA"/>
    <n v="4938683932"/>
    <n v="7807793396"/>
    <x v="2"/>
    <n v="342"/>
    <n v="342"/>
    <n v="0"/>
    <x v="8"/>
    <x v="55"/>
    <x v="1"/>
    <x v="1"/>
    <x v="0"/>
    <x v="8"/>
  </r>
  <r>
    <s v="NXKCCKA5NX"/>
    <n v="1101279902"/>
    <n v="537893497"/>
    <x v="1"/>
    <n v="460"/>
    <n v="373"/>
    <n v="87"/>
    <x v="6"/>
    <x v="56"/>
    <x v="2"/>
    <x v="2"/>
    <x v="2"/>
    <x v="7"/>
  </r>
  <r>
    <s v="BVE7444IA9"/>
    <n v="8307032775"/>
    <n v="686354499"/>
    <x v="0"/>
    <n v="228"/>
    <n v="0"/>
    <n v="228"/>
    <x v="3"/>
    <x v="57"/>
    <x v="2"/>
    <x v="2"/>
    <x v="1"/>
    <x v="4"/>
  </r>
  <r>
    <s v="1OIRVKJHYQ"/>
    <n v="557220025"/>
    <n v="6572802735"/>
    <x v="3"/>
    <n v="304"/>
    <n v="304"/>
    <n v="0"/>
    <x v="0"/>
    <x v="23"/>
    <x v="2"/>
    <x v="0"/>
    <x v="0"/>
    <x v="0"/>
  </r>
  <r>
    <s v="1ZE0CH9ANF"/>
    <n v="109000162"/>
    <n v="4961090391"/>
    <x v="4"/>
    <n v="129"/>
    <n v="129"/>
    <n v="0"/>
    <x v="1"/>
    <x v="58"/>
    <x v="0"/>
    <x v="2"/>
    <x v="0"/>
    <x v="1"/>
  </r>
  <r>
    <s v="LD9ZVUWJ7S"/>
    <n v="9013578440"/>
    <n v="5425052193"/>
    <x v="1"/>
    <n v="335"/>
    <n v="335"/>
    <n v="0"/>
    <x v="7"/>
    <x v="59"/>
    <x v="2"/>
    <x v="1"/>
    <x v="0"/>
    <x v="8"/>
  </r>
  <r>
    <s v="17VQIO0ZZG"/>
    <n v="6841929195"/>
    <n v="4948740224"/>
    <x v="0"/>
    <n v="409"/>
    <n v="409"/>
    <n v="0"/>
    <x v="5"/>
    <x v="36"/>
    <x v="2"/>
    <x v="2"/>
    <x v="0"/>
    <x v="1"/>
  </r>
  <r>
    <s v="0SDKFKDYX1"/>
    <n v="1053412984"/>
    <n v="768677968"/>
    <x v="3"/>
    <n v="429"/>
    <n v="429"/>
    <n v="0"/>
    <x v="1"/>
    <x v="60"/>
    <x v="1"/>
    <x v="0"/>
    <x v="0"/>
    <x v="0"/>
  </r>
  <r>
    <s v="TNZPP780RC"/>
    <n v="4547631680"/>
    <n v="3263433478"/>
    <x v="4"/>
    <n v="211"/>
    <n v="211"/>
    <n v="0"/>
    <x v="7"/>
    <x v="61"/>
    <x v="1"/>
    <x v="1"/>
    <x v="0"/>
    <x v="1"/>
  </r>
  <r>
    <s v="PMIJKF5WZO"/>
    <n v="274330541"/>
    <n v="7308527471"/>
    <x v="0"/>
    <n v="398"/>
    <n v="398"/>
    <n v="0"/>
    <x v="7"/>
    <x v="55"/>
    <x v="2"/>
    <x v="0"/>
    <x v="0"/>
    <x v="0"/>
  </r>
  <r>
    <s v="SVV61N3AQ7"/>
    <n v="3074874117"/>
    <n v="6653991271"/>
    <x v="0"/>
    <n v="342"/>
    <n v="267"/>
    <n v="75"/>
    <x v="4"/>
    <x v="26"/>
    <x v="1"/>
    <x v="2"/>
    <x v="2"/>
    <x v="7"/>
  </r>
  <r>
    <s v="XZW4R6GEEF"/>
    <n v="7499040704"/>
    <n v="5034237060"/>
    <x v="2"/>
    <n v="206"/>
    <n v="150"/>
    <n v="56"/>
    <x v="3"/>
    <x v="62"/>
    <x v="0"/>
    <x v="2"/>
    <x v="2"/>
    <x v="3"/>
  </r>
  <r>
    <s v="03KUGWSDD8"/>
    <n v="3146118709"/>
    <n v="7178608739"/>
    <x v="0"/>
    <n v="211"/>
    <n v="211"/>
    <n v="0"/>
    <x v="6"/>
    <x v="47"/>
    <x v="2"/>
    <x v="1"/>
    <x v="0"/>
    <x v="4"/>
  </r>
  <r>
    <s v="EOQUYX5O54"/>
    <n v="7312963265"/>
    <n v="2770595414"/>
    <x v="0"/>
    <n v="289"/>
    <n v="289"/>
    <n v="0"/>
    <x v="5"/>
    <x v="63"/>
    <x v="2"/>
    <x v="0"/>
    <x v="0"/>
    <x v="0"/>
  </r>
  <r>
    <s v="JAC7K36F6Y"/>
    <n v="8091673296"/>
    <n v="5236895806"/>
    <x v="1"/>
    <n v="379"/>
    <n v="379"/>
    <n v="0"/>
    <x v="5"/>
    <x v="2"/>
    <x v="1"/>
    <x v="2"/>
    <x v="0"/>
    <x v="3"/>
  </r>
  <r>
    <s v="7J1R25LVGG"/>
    <n v="5413249070"/>
    <n v="2799029082"/>
    <x v="1"/>
    <n v="476"/>
    <n v="0"/>
    <n v="476"/>
    <x v="7"/>
    <x v="64"/>
    <x v="2"/>
    <x v="1"/>
    <x v="1"/>
    <x v="1"/>
  </r>
  <r>
    <s v="EF88E3TVPL"/>
    <n v="8466197657"/>
    <n v="9730487757"/>
    <x v="3"/>
    <n v="464"/>
    <n v="464"/>
    <n v="0"/>
    <x v="6"/>
    <x v="39"/>
    <x v="2"/>
    <x v="0"/>
    <x v="0"/>
    <x v="0"/>
  </r>
  <r>
    <s v="5K0KC4SOY9"/>
    <n v="2188473191"/>
    <n v="7023401976"/>
    <x v="4"/>
    <n v="293"/>
    <n v="293"/>
    <n v="0"/>
    <x v="1"/>
    <x v="44"/>
    <x v="1"/>
    <x v="2"/>
    <x v="0"/>
    <x v="2"/>
  </r>
  <r>
    <s v="SX8SWSLL97"/>
    <n v="6752221216"/>
    <n v="3603720377"/>
    <x v="1"/>
    <n v="152"/>
    <n v="152"/>
    <n v="0"/>
    <x v="0"/>
    <x v="52"/>
    <x v="0"/>
    <x v="1"/>
    <x v="0"/>
    <x v="7"/>
  </r>
  <r>
    <s v="FWFLP75LPZ"/>
    <n v="1010489751"/>
    <n v="3742237646"/>
    <x v="1"/>
    <n v="314"/>
    <n v="314"/>
    <n v="0"/>
    <x v="7"/>
    <x v="25"/>
    <x v="2"/>
    <x v="1"/>
    <x v="0"/>
    <x v="4"/>
  </r>
  <r>
    <s v="3AJGX7SNXM"/>
    <n v="6982903968"/>
    <n v="8213224683"/>
    <x v="2"/>
    <n v="498"/>
    <n v="0"/>
    <n v="498"/>
    <x v="6"/>
    <x v="35"/>
    <x v="1"/>
    <x v="1"/>
    <x v="1"/>
    <x v="2"/>
  </r>
  <r>
    <s v="2FJH03XQ5I"/>
    <n v="5996077836"/>
    <n v="4508676436"/>
    <x v="0"/>
    <n v="484"/>
    <n v="315"/>
    <n v="169"/>
    <x v="6"/>
    <x v="50"/>
    <x v="1"/>
    <x v="1"/>
    <x v="2"/>
    <x v="2"/>
  </r>
  <r>
    <s v="4K0UUQPBR1"/>
    <n v="5702735569"/>
    <n v="9733547622"/>
    <x v="0"/>
    <n v="415"/>
    <n v="415"/>
    <n v="0"/>
    <x v="2"/>
    <x v="5"/>
    <x v="2"/>
    <x v="0"/>
    <x v="0"/>
    <x v="0"/>
  </r>
  <r>
    <s v="0TEY5ZGYC2"/>
    <n v="4795200970"/>
    <n v="1651813906"/>
    <x v="2"/>
    <n v="274"/>
    <n v="165"/>
    <n v="109"/>
    <x v="3"/>
    <x v="53"/>
    <x v="1"/>
    <x v="2"/>
    <x v="2"/>
    <x v="6"/>
  </r>
  <r>
    <s v="KDW6UKGYW2"/>
    <n v="3208941189"/>
    <n v="6276083979"/>
    <x v="0"/>
    <n v="273"/>
    <n v="273"/>
    <n v="0"/>
    <x v="5"/>
    <x v="65"/>
    <x v="2"/>
    <x v="0"/>
    <x v="0"/>
    <x v="0"/>
  </r>
  <r>
    <s v="I3W13NNO8Q"/>
    <n v="6763652717"/>
    <n v="7851510784"/>
    <x v="1"/>
    <n v="359"/>
    <n v="359"/>
    <n v="0"/>
    <x v="5"/>
    <x v="41"/>
    <x v="0"/>
    <x v="2"/>
    <x v="0"/>
    <x v="2"/>
  </r>
  <r>
    <s v="BG5RPIOIIX"/>
    <n v="3824043181"/>
    <n v="472273704"/>
    <x v="4"/>
    <n v="228"/>
    <n v="228"/>
    <n v="0"/>
    <x v="2"/>
    <x v="31"/>
    <x v="1"/>
    <x v="1"/>
    <x v="0"/>
    <x v="5"/>
  </r>
  <r>
    <s v="SALNYWZEJK"/>
    <n v="4760458830"/>
    <n v="9407266002"/>
    <x v="2"/>
    <n v="455"/>
    <n v="455"/>
    <n v="0"/>
    <x v="8"/>
    <x v="66"/>
    <x v="2"/>
    <x v="2"/>
    <x v="0"/>
    <x v="4"/>
  </r>
  <r>
    <s v="LL816PKJ2U"/>
    <n v="474022366"/>
    <n v="2775995537"/>
    <x v="4"/>
    <n v="156"/>
    <n v="110"/>
    <n v="46"/>
    <x v="7"/>
    <x v="59"/>
    <x v="0"/>
    <x v="2"/>
    <x v="2"/>
    <x v="5"/>
  </r>
  <r>
    <s v="ONKNYV8849"/>
    <n v="5370701135"/>
    <n v="1549886899"/>
    <x v="0"/>
    <n v="244"/>
    <n v="244"/>
    <n v="0"/>
    <x v="1"/>
    <x v="28"/>
    <x v="2"/>
    <x v="2"/>
    <x v="0"/>
    <x v="3"/>
  </r>
  <r>
    <s v="GWA3OQX4F2"/>
    <n v="2062487711"/>
    <n v="514376388"/>
    <x v="4"/>
    <n v="188"/>
    <n v="0"/>
    <n v="188"/>
    <x v="7"/>
    <x v="60"/>
    <x v="0"/>
    <x v="1"/>
    <x v="1"/>
    <x v="3"/>
  </r>
  <r>
    <s v="KE2JUP5NKX"/>
    <n v="7851524311"/>
    <n v="3647650457"/>
    <x v="4"/>
    <n v="178"/>
    <n v="0"/>
    <n v="178"/>
    <x v="7"/>
    <x v="47"/>
    <x v="2"/>
    <x v="2"/>
    <x v="1"/>
    <x v="4"/>
  </r>
  <r>
    <s v="UZGEPUI1ZD"/>
    <n v="6132207362"/>
    <n v="8928639891"/>
    <x v="2"/>
    <n v="396"/>
    <n v="220"/>
    <n v="176"/>
    <x v="3"/>
    <x v="16"/>
    <x v="0"/>
    <x v="1"/>
    <x v="2"/>
    <x v="6"/>
  </r>
  <r>
    <s v="AWOUVDKC2I"/>
    <n v="7507051181"/>
    <n v="6374394200"/>
    <x v="3"/>
    <n v="434"/>
    <n v="434"/>
    <n v="0"/>
    <x v="0"/>
    <x v="60"/>
    <x v="0"/>
    <x v="0"/>
    <x v="0"/>
    <x v="0"/>
  </r>
  <r>
    <s v="W7NKLL5GMD"/>
    <n v="1191852769"/>
    <n v="3896716396"/>
    <x v="1"/>
    <n v="365"/>
    <n v="233"/>
    <n v="132"/>
    <x v="0"/>
    <x v="4"/>
    <x v="1"/>
    <x v="1"/>
    <x v="2"/>
    <x v="2"/>
  </r>
  <r>
    <s v="DKC9G21BFU"/>
    <n v="2394073426"/>
    <n v="8111972544"/>
    <x v="4"/>
    <n v="214"/>
    <n v="214"/>
    <n v="0"/>
    <x v="1"/>
    <x v="46"/>
    <x v="2"/>
    <x v="0"/>
    <x v="0"/>
    <x v="0"/>
  </r>
  <r>
    <s v="E5WVM3JMNQ"/>
    <n v="7216892619"/>
    <n v="8474448865"/>
    <x v="1"/>
    <n v="115"/>
    <n v="0"/>
    <n v="115"/>
    <x v="6"/>
    <x v="67"/>
    <x v="0"/>
    <x v="1"/>
    <x v="1"/>
    <x v="7"/>
  </r>
  <r>
    <s v="YCGP8RKL8Y"/>
    <n v="3397635546"/>
    <n v="5196707653"/>
    <x v="3"/>
    <n v="381"/>
    <n v="381"/>
    <n v="0"/>
    <x v="2"/>
    <x v="68"/>
    <x v="1"/>
    <x v="0"/>
    <x v="0"/>
    <x v="0"/>
  </r>
  <r>
    <s v="XQTYU38PUI"/>
    <n v="8466303274"/>
    <n v="1515174964"/>
    <x v="0"/>
    <n v="203"/>
    <n v="203"/>
    <n v="0"/>
    <x v="6"/>
    <x v="36"/>
    <x v="1"/>
    <x v="0"/>
    <x v="0"/>
    <x v="0"/>
  </r>
  <r>
    <s v="I5O7G25IAN"/>
    <n v="9884264767"/>
    <n v="1316033874"/>
    <x v="3"/>
    <n v="498"/>
    <n v="304"/>
    <n v="194"/>
    <x v="7"/>
    <x v="69"/>
    <x v="0"/>
    <x v="1"/>
    <x v="2"/>
    <x v="4"/>
  </r>
  <r>
    <s v="VUBDXKSITN"/>
    <n v="5301271867"/>
    <n v="9360609927"/>
    <x v="4"/>
    <n v="292"/>
    <n v="292"/>
    <n v="0"/>
    <x v="5"/>
    <x v="70"/>
    <x v="1"/>
    <x v="0"/>
    <x v="0"/>
    <x v="0"/>
  </r>
  <r>
    <s v="ZRUKF056OF"/>
    <n v="6358288206"/>
    <n v="3347790516"/>
    <x v="2"/>
    <n v="144"/>
    <n v="144"/>
    <n v="0"/>
    <x v="2"/>
    <x v="71"/>
    <x v="2"/>
    <x v="1"/>
    <x v="0"/>
    <x v="2"/>
  </r>
  <r>
    <s v="AY4L0KGRHL"/>
    <n v="6218708524"/>
    <n v="2444468779"/>
    <x v="1"/>
    <n v="216"/>
    <n v="216"/>
    <n v="0"/>
    <x v="8"/>
    <x v="24"/>
    <x v="2"/>
    <x v="1"/>
    <x v="0"/>
    <x v="2"/>
  </r>
  <r>
    <s v="NQU276KNZT"/>
    <n v="9696153952"/>
    <n v="3647485316"/>
    <x v="2"/>
    <n v="430"/>
    <n v="230"/>
    <n v="200"/>
    <x v="1"/>
    <x v="7"/>
    <x v="0"/>
    <x v="2"/>
    <x v="2"/>
    <x v="2"/>
  </r>
  <r>
    <s v="F78K1VGNH4"/>
    <n v="5590936414"/>
    <n v="7312949682"/>
    <x v="0"/>
    <n v="145"/>
    <n v="145"/>
    <n v="0"/>
    <x v="2"/>
    <x v="70"/>
    <x v="0"/>
    <x v="0"/>
    <x v="0"/>
    <x v="0"/>
  </r>
  <r>
    <s v="BEAN2D0O3M"/>
    <n v="7981724362"/>
    <n v="5059821073"/>
    <x v="0"/>
    <n v="371"/>
    <n v="226"/>
    <n v="145"/>
    <x v="7"/>
    <x v="68"/>
    <x v="2"/>
    <x v="2"/>
    <x v="2"/>
    <x v="1"/>
  </r>
  <r>
    <s v="CQILUKTAFA"/>
    <n v="5779906232"/>
    <n v="6484108966"/>
    <x v="1"/>
    <n v="351"/>
    <n v="351"/>
    <n v="0"/>
    <x v="0"/>
    <x v="64"/>
    <x v="1"/>
    <x v="0"/>
    <x v="0"/>
    <x v="0"/>
  </r>
  <r>
    <s v="80DLRL727R"/>
    <n v="9045277825"/>
    <n v="3393310841"/>
    <x v="0"/>
    <n v="324"/>
    <n v="324"/>
    <n v="0"/>
    <x v="1"/>
    <x v="72"/>
    <x v="2"/>
    <x v="2"/>
    <x v="0"/>
    <x v="1"/>
  </r>
  <r>
    <s v="0HD3Q0V5IC"/>
    <n v="4661238640"/>
    <n v="6031974567"/>
    <x v="2"/>
    <n v="292"/>
    <n v="292"/>
    <n v="0"/>
    <x v="8"/>
    <x v="61"/>
    <x v="0"/>
    <x v="0"/>
    <x v="0"/>
    <x v="0"/>
  </r>
  <r>
    <s v="56F9KQZFDL"/>
    <n v="337273433"/>
    <n v="5547781047"/>
    <x v="1"/>
    <n v="316"/>
    <n v="0"/>
    <n v="316"/>
    <x v="2"/>
    <x v="37"/>
    <x v="0"/>
    <x v="2"/>
    <x v="1"/>
    <x v="2"/>
  </r>
  <r>
    <s v="IE1OJBS037"/>
    <n v="6431344157"/>
    <n v="5993745339"/>
    <x v="0"/>
    <n v="440"/>
    <n v="440"/>
    <n v="0"/>
    <x v="9"/>
    <x v="68"/>
    <x v="2"/>
    <x v="0"/>
    <x v="0"/>
    <x v="0"/>
  </r>
  <r>
    <s v="1DFD6LPA9G"/>
    <n v="1023375494"/>
    <n v="9657695754"/>
    <x v="3"/>
    <n v="264"/>
    <n v="199"/>
    <n v="65"/>
    <x v="9"/>
    <x v="73"/>
    <x v="0"/>
    <x v="2"/>
    <x v="2"/>
    <x v="3"/>
  </r>
  <r>
    <s v="JYOSMJ1CRQ"/>
    <n v="8991511345"/>
    <n v="6620050831"/>
    <x v="0"/>
    <n v="441"/>
    <n v="441"/>
    <n v="0"/>
    <x v="2"/>
    <x v="38"/>
    <x v="1"/>
    <x v="2"/>
    <x v="0"/>
    <x v="6"/>
  </r>
  <r>
    <s v="HLMIGVNKJ7"/>
    <n v="882460491"/>
    <n v="5740866838"/>
    <x v="3"/>
    <n v="205"/>
    <n v="205"/>
    <n v="0"/>
    <x v="3"/>
    <x v="74"/>
    <x v="1"/>
    <x v="0"/>
    <x v="0"/>
    <x v="0"/>
  </r>
  <r>
    <s v="UZR5F00FFZ"/>
    <n v="8619597301"/>
    <n v="4552578542"/>
    <x v="2"/>
    <n v="154"/>
    <n v="154"/>
    <n v="0"/>
    <x v="8"/>
    <x v="37"/>
    <x v="1"/>
    <x v="2"/>
    <x v="0"/>
    <x v="6"/>
  </r>
  <r>
    <s v="0APP6HH8P5"/>
    <n v="5577749071"/>
    <n v="8116288647"/>
    <x v="2"/>
    <n v="224"/>
    <n v="224"/>
    <n v="0"/>
    <x v="3"/>
    <x v="75"/>
    <x v="1"/>
    <x v="2"/>
    <x v="0"/>
    <x v="6"/>
  </r>
  <r>
    <s v="9D3MU6S6VP"/>
    <n v="2684702899"/>
    <n v="5808072665"/>
    <x v="2"/>
    <n v="144"/>
    <n v="144"/>
    <n v="0"/>
    <x v="3"/>
    <x v="9"/>
    <x v="1"/>
    <x v="0"/>
    <x v="0"/>
    <x v="0"/>
  </r>
  <r>
    <s v="2F80QSVG1R"/>
    <n v="2608036521"/>
    <n v="7546582330"/>
    <x v="2"/>
    <n v="121"/>
    <n v="121"/>
    <n v="0"/>
    <x v="0"/>
    <x v="49"/>
    <x v="1"/>
    <x v="0"/>
    <x v="0"/>
    <x v="0"/>
  </r>
  <r>
    <s v="HBDFQ5AGAA"/>
    <n v="8382365578"/>
    <n v="1375759561"/>
    <x v="0"/>
    <n v="443"/>
    <n v="443"/>
    <n v="0"/>
    <x v="7"/>
    <x v="0"/>
    <x v="0"/>
    <x v="0"/>
    <x v="0"/>
    <x v="0"/>
  </r>
  <r>
    <s v="KG6SX3AG7V"/>
    <n v="6012561378"/>
    <n v="5908095915"/>
    <x v="3"/>
    <n v="496"/>
    <n v="496"/>
    <n v="0"/>
    <x v="5"/>
    <x v="25"/>
    <x v="1"/>
    <x v="2"/>
    <x v="0"/>
    <x v="2"/>
  </r>
  <r>
    <s v="O0O7I4PCDS"/>
    <n v="1448693427"/>
    <n v="8007678093"/>
    <x v="0"/>
    <n v="148"/>
    <n v="148"/>
    <n v="0"/>
    <x v="7"/>
    <x v="36"/>
    <x v="1"/>
    <x v="0"/>
    <x v="0"/>
    <x v="0"/>
  </r>
  <r>
    <s v="RKGK9M4GZO"/>
    <n v="3627070036"/>
    <n v="6437832238"/>
    <x v="1"/>
    <n v="432"/>
    <n v="432"/>
    <n v="0"/>
    <x v="6"/>
    <x v="18"/>
    <x v="0"/>
    <x v="0"/>
    <x v="0"/>
    <x v="0"/>
  </r>
  <r>
    <s v="BWTZDPRYZZ"/>
    <n v="9761933078"/>
    <n v="2612404520"/>
    <x v="1"/>
    <n v="459"/>
    <n v="230"/>
    <n v="229"/>
    <x v="1"/>
    <x v="43"/>
    <x v="2"/>
    <x v="1"/>
    <x v="2"/>
    <x v="6"/>
  </r>
  <r>
    <s v="EWUTRPI1J8"/>
    <n v="1696229134"/>
    <n v="3378178612"/>
    <x v="1"/>
    <n v="152"/>
    <n v="152"/>
    <n v="0"/>
    <x v="2"/>
    <x v="27"/>
    <x v="2"/>
    <x v="2"/>
    <x v="0"/>
    <x v="2"/>
  </r>
  <r>
    <s v="HD07525Z0X"/>
    <n v="8887244725"/>
    <n v="9781272640"/>
    <x v="1"/>
    <n v="288"/>
    <n v="288"/>
    <n v="0"/>
    <x v="5"/>
    <x v="20"/>
    <x v="1"/>
    <x v="0"/>
    <x v="0"/>
    <x v="0"/>
  </r>
  <r>
    <s v="G1JP7RHVW8"/>
    <n v="1723768177"/>
    <n v="8350856305"/>
    <x v="4"/>
    <n v="176"/>
    <n v="176"/>
    <n v="0"/>
    <x v="0"/>
    <x v="76"/>
    <x v="2"/>
    <x v="1"/>
    <x v="0"/>
    <x v="2"/>
  </r>
  <r>
    <s v="F501F1764T"/>
    <n v="3352303460"/>
    <n v="2504414103"/>
    <x v="2"/>
    <n v="212"/>
    <n v="212"/>
    <n v="0"/>
    <x v="3"/>
    <x v="52"/>
    <x v="0"/>
    <x v="0"/>
    <x v="0"/>
    <x v="0"/>
  </r>
  <r>
    <s v="B4MSXFA2GR"/>
    <n v="3666892635"/>
    <n v="4746989996"/>
    <x v="1"/>
    <n v="158"/>
    <n v="158"/>
    <n v="0"/>
    <x v="1"/>
    <x v="30"/>
    <x v="1"/>
    <x v="0"/>
    <x v="0"/>
    <x v="0"/>
  </r>
  <r>
    <s v="XE2Z4WKGGB"/>
    <n v="2376734593"/>
    <n v="9774821986"/>
    <x v="0"/>
    <n v="361"/>
    <n v="361"/>
    <n v="0"/>
    <x v="1"/>
    <x v="54"/>
    <x v="2"/>
    <x v="0"/>
    <x v="0"/>
    <x v="0"/>
  </r>
  <r>
    <s v="M97JVAMO2P"/>
    <n v="4828356854"/>
    <n v="2161577053"/>
    <x v="4"/>
    <n v="351"/>
    <n v="351"/>
    <n v="0"/>
    <x v="7"/>
    <x v="36"/>
    <x v="0"/>
    <x v="0"/>
    <x v="0"/>
    <x v="0"/>
  </r>
  <r>
    <s v="NI9CBAIJTD"/>
    <n v="4795867288"/>
    <n v="9759993201"/>
    <x v="2"/>
    <n v="410"/>
    <n v="410"/>
    <n v="0"/>
    <x v="2"/>
    <x v="14"/>
    <x v="2"/>
    <x v="0"/>
    <x v="0"/>
    <x v="0"/>
  </r>
  <r>
    <s v="9LEEKO4KJC"/>
    <n v="5901329561"/>
    <n v="8170215789"/>
    <x v="3"/>
    <n v="149"/>
    <n v="149"/>
    <n v="0"/>
    <x v="6"/>
    <x v="77"/>
    <x v="0"/>
    <x v="0"/>
    <x v="0"/>
    <x v="0"/>
  </r>
  <r>
    <s v="J0FY34DBL2"/>
    <n v="341965448"/>
    <n v="3179392054"/>
    <x v="1"/>
    <n v="234"/>
    <n v="130"/>
    <n v="104"/>
    <x v="7"/>
    <x v="47"/>
    <x v="1"/>
    <x v="2"/>
    <x v="2"/>
    <x v="3"/>
  </r>
  <r>
    <s v="6E6Q3BQE0N"/>
    <n v="9271966642"/>
    <n v="7903926678"/>
    <x v="1"/>
    <n v="254"/>
    <n v="254"/>
    <n v="0"/>
    <x v="2"/>
    <x v="78"/>
    <x v="0"/>
    <x v="2"/>
    <x v="0"/>
    <x v="3"/>
  </r>
  <r>
    <s v="M7ILBBTT8L"/>
    <n v="8941101270"/>
    <n v="8609829647"/>
    <x v="2"/>
    <n v="140"/>
    <n v="140"/>
    <n v="0"/>
    <x v="7"/>
    <x v="79"/>
    <x v="2"/>
    <x v="1"/>
    <x v="0"/>
    <x v="3"/>
  </r>
  <r>
    <s v="47HVBI67F2"/>
    <n v="7185877275"/>
    <n v="6539725479"/>
    <x v="2"/>
    <n v="352"/>
    <n v="0"/>
    <n v="352"/>
    <x v="7"/>
    <x v="65"/>
    <x v="1"/>
    <x v="1"/>
    <x v="1"/>
    <x v="3"/>
  </r>
  <r>
    <s v="CBX9LUCCSS"/>
    <n v="3122841345"/>
    <n v="9165645206"/>
    <x v="3"/>
    <n v="359"/>
    <n v="359"/>
    <n v="0"/>
    <x v="3"/>
    <x v="9"/>
    <x v="0"/>
    <x v="0"/>
    <x v="0"/>
    <x v="0"/>
  </r>
  <r>
    <s v="T0BTL69QA7"/>
    <n v="2325369510"/>
    <n v="9752551327"/>
    <x v="4"/>
    <n v="205"/>
    <n v="205"/>
    <n v="0"/>
    <x v="3"/>
    <x v="38"/>
    <x v="2"/>
    <x v="1"/>
    <x v="0"/>
    <x v="3"/>
  </r>
  <r>
    <s v="0GDEC1CH9Z"/>
    <n v="226054765"/>
    <n v="6853034876"/>
    <x v="4"/>
    <n v="211"/>
    <n v="211"/>
    <n v="0"/>
    <x v="8"/>
    <x v="10"/>
    <x v="1"/>
    <x v="0"/>
    <x v="0"/>
    <x v="0"/>
  </r>
  <r>
    <s v="QYKLHSFZT2"/>
    <n v="6365307113"/>
    <n v="2343189144"/>
    <x v="1"/>
    <n v="182"/>
    <n v="182"/>
    <n v="0"/>
    <x v="1"/>
    <x v="4"/>
    <x v="1"/>
    <x v="0"/>
    <x v="0"/>
    <x v="0"/>
  </r>
  <r>
    <s v="VVEOSUKMII"/>
    <n v="8143419395"/>
    <n v="69035867"/>
    <x v="1"/>
    <n v="495"/>
    <n v="320"/>
    <n v="175"/>
    <x v="2"/>
    <x v="66"/>
    <x v="1"/>
    <x v="2"/>
    <x v="2"/>
    <x v="1"/>
  </r>
  <r>
    <s v="1C54EPEN70"/>
    <n v="1899081171"/>
    <n v="3736465905"/>
    <x v="0"/>
    <n v="418"/>
    <n v="418"/>
    <n v="0"/>
    <x v="4"/>
    <x v="67"/>
    <x v="2"/>
    <x v="2"/>
    <x v="0"/>
    <x v="4"/>
  </r>
  <r>
    <s v="ZJX40JVXLG"/>
    <n v="4766670055"/>
    <n v="7078540382"/>
    <x v="1"/>
    <n v="306"/>
    <n v="0"/>
    <n v="306"/>
    <x v="9"/>
    <x v="1"/>
    <x v="2"/>
    <x v="2"/>
    <x v="1"/>
    <x v="4"/>
  </r>
  <r>
    <s v="4PRWBE0QQ3"/>
    <n v="5161831992"/>
    <n v="7180734565"/>
    <x v="1"/>
    <n v="236"/>
    <n v="236"/>
    <n v="0"/>
    <x v="7"/>
    <x v="50"/>
    <x v="0"/>
    <x v="0"/>
    <x v="0"/>
    <x v="0"/>
  </r>
  <r>
    <s v="GJMUVI7CZZ"/>
    <n v="9866509071"/>
    <n v="1809356200"/>
    <x v="0"/>
    <n v="437"/>
    <n v="437"/>
    <n v="0"/>
    <x v="1"/>
    <x v="56"/>
    <x v="2"/>
    <x v="1"/>
    <x v="0"/>
    <x v="3"/>
  </r>
  <r>
    <s v="PDYXDJBNAN"/>
    <n v="3594389213"/>
    <n v="3113601299"/>
    <x v="3"/>
    <n v="108"/>
    <n v="0"/>
    <n v="108"/>
    <x v="1"/>
    <x v="22"/>
    <x v="2"/>
    <x v="1"/>
    <x v="1"/>
    <x v="7"/>
  </r>
  <r>
    <s v="Z42IOQWBTC"/>
    <n v="1798037143"/>
    <n v="2576643386"/>
    <x v="3"/>
    <n v="421"/>
    <n v="421"/>
    <n v="0"/>
    <x v="0"/>
    <x v="77"/>
    <x v="1"/>
    <x v="0"/>
    <x v="0"/>
    <x v="0"/>
  </r>
  <r>
    <s v="HIBKOPNEIE"/>
    <n v="5658593746"/>
    <n v="4027037581"/>
    <x v="1"/>
    <n v="456"/>
    <n v="0"/>
    <n v="456"/>
    <x v="2"/>
    <x v="80"/>
    <x v="1"/>
    <x v="2"/>
    <x v="1"/>
    <x v="6"/>
  </r>
  <r>
    <s v="TD0EG8I93R"/>
    <n v="6744823555"/>
    <n v="6194960851"/>
    <x v="3"/>
    <n v="349"/>
    <n v="349"/>
    <n v="0"/>
    <x v="6"/>
    <x v="6"/>
    <x v="1"/>
    <x v="0"/>
    <x v="0"/>
    <x v="0"/>
  </r>
  <r>
    <s v="TQ08LFF3FV"/>
    <n v="3517172899"/>
    <n v="7461143000"/>
    <x v="0"/>
    <n v="361"/>
    <n v="242"/>
    <n v="119"/>
    <x v="3"/>
    <x v="13"/>
    <x v="0"/>
    <x v="1"/>
    <x v="2"/>
    <x v="7"/>
  </r>
  <r>
    <s v="70RGURTCPA"/>
    <n v="426438748"/>
    <n v="6888904397"/>
    <x v="3"/>
    <n v="213"/>
    <n v="213"/>
    <n v="0"/>
    <x v="4"/>
    <x v="36"/>
    <x v="0"/>
    <x v="2"/>
    <x v="0"/>
    <x v="8"/>
  </r>
  <r>
    <s v="KL2NRHBXG3"/>
    <n v="2234388177"/>
    <n v="6166259191"/>
    <x v="3"/>
    <n v="222"/>
    <n v="222"/>
    <n v="0"/>
    <x v="0"/>
    <x v="70"/>
    <x v="2"/>
    <x v="0"/>
    <x v="0"/>
    <x v="0"/>
  </r>
  <r>
    <s v="3UNK73M0U0"/>
    <n v="8048684118"/>
    <n v="1461079912"/>
    <x v="2"/>
    <n v="181"/>
    <n v="181"/>
    <n v="0"/>
    <x v="8"/>
    <x v="26"/>
    <x v="0"/>
    <x v="0"/>
    <x v="0"/>
    <x v="0"/>
  </r>
  <r>
    <s v="3SH5BZYEI6"/>
    <n v="4268087104"/>
    <n v="8107343456"/>
    <x v="2"/>
    <n v="208"/>
    <n v="208"/>
    <n v="0"/>
    <x v="3"/>
    <x v="63"/>
    <x v="2"/>
    <x v="1"/>
    <x v="0"/>
    <x v="7"/>
  </r>
  <r>
    <s v="7JKH2VI6DD"/>
    <n v="7274850471"/>
    <n v="806587902"/>
    <x v="1"/>
    <n v="320"/>
    <n v="186"/>
    <n v="134"/>
    <x v="8"/>
    <x v="1"/>
    <x v="0"/>
    <x v="1"/>
    <x v="2"/>
    <x v="4"/>
  </r>
  <r>
    <s v="Z7O5NINUTV"/>
    <n v="5267048594"/>
    <n v="732131331"/>
    <x v="2"/>
    <n v="407"/>
    <n v="407"/>
    <n v="0"/>
    <x v="1"/>
    <x v="81"/>
    <x v="1"/>
    <x v="0"/>
    <x v="0"/>
    <x v="0"/>
  </r>
  <r>
    <s v="NGUGYELCR7"/>
    <n v="4766493318"/>
    <n v="3814103870"/>
    <x v="3"/>
    <n v="324"/>
    <n v="324"/>
    <n v="0"/>
    <x v="5"/>
    <x v="41"/>
    <x v="1"/>
    <x v="2"/>
    <x v="0"/>
    <x v="6"/>
  </r>
  <r>
    <s v="0HP3KCYTOK"/>
    <n v="7651174592"/>
    <n v="3242375529"/>
    <x v="2"/>
    <n v="152"/>
    <n v="152"/>
    <n v="0"/>
    <x v="7"/>
    <x v="71"/>
    <x v="1"/>
    <x v="1"/>
    <x v="0"/>
    <x v="2"/>
  </r>
  <r>
    <s v="EHOUC8V902"/>
    <n v="3561974685"/>
    <n v="4398566938"/>
    <x v="2"/>
    <n v="435"/>
    <n v="339"/>
    <n v="96"/>
    <x v="0"/>
    <x v="0"/>
    <x v="2"/>
    <x v="2"/>
    <x v="2"/>
    <x v="1"/>
  </r>
  <r>
    <s v="302RLDJRB7"/>
    <n v="5521027680"/>
    <n v="2456650289"/>
    <x v="1"/>
    <n v="116"/>
    <n v="0"/>
    <n v="116"/>
    <x v="3"/>
    <x v="50"/>
    <x v="0"/>
    <x v="2"/>
    <x v="1"/>
    <x v="7"/>
  </r>
  <r>
    <s v="IJ5T168FLX"/>
    <n v="7864007404"/>
    <n v="7250117317"/>
    <x v="2"/>
    <n v="267"/>
    <n v="0"/>
    <n v="267"/>
    <x v="8"/>
    <x v="39"/>
    <x v="2"/>
    <x v="1"/>
    <x v="1"/>
    <x v="7"/>
  </r>
  <r>
    <s v="8UNA2IB1ZX"/>
    <n v="6896845521"/>
    <n v="5299226902"/>
    <x v="2"/>
    <n v="196"/>
    <n v="196"/>
    <n v="0"/>
    <x v="5"/>
    <x v="64"/>
    <x v="0"/>
    <x v="0"/>
    <x v="0"/>
    <x v="0"/>
  </r>
  <r>
    <s v="5C9OLF3YP8"/>
    <n v="1404479344"/>
    <n v="6136803061"/>
    <x v="3"/>
    <n v="207"/>
    <n v="0"/>
    <n v="207"/>
    <x v="3"/>
    <x v="82"/>
    <x v="1"/>
    <x v="2"/>
    <x v="1"/>
    <x v="1"/>
  </r>
  <r>
    <s v="PXYIFX4268"/>
    <n v="111343888"/>
    <n v="2826845391"/>
    <x v="1"/>
    <n v="418"/>
    <n v="0"/>
    <n v="418"/>
    <x v="2"/>
    <x v="51"/>
    <x v="2"/>
    <x v="2"/>
    <x v="1"/>
    <x v="3"/>
  </r>
  <r>
    <s v="O3CSIRMW8P"/>
    <n v="4116284142"/>
    <n v="6072263395"/>
    <x v="1"/>
    <n v="446"/>
    <n v="0"/>
    <n v="446"/>
    <x v="1"/>
    <x v="83"/>
    <x v="2"/>
    <x v="1"/>
    <x v="1"/>
    <x v="6"/>
  </r>
  <r>
    <s v="4AECRPPSTL"/>
    <n v="6034872297"/>
    <n v="1183596686"/>
    <x v="2"/>
    <n v="214"/>
    <n v="178"/>
    <n v="36"/>
    <x v="0"/>
    <x v="55"/>
    <x v="1"/>
    <x v="1"/>
    <x v="2"/>
    <x v="1"/>
  </r>
  <r>
    <s v="DZFSOUHGBF"/>
    <n v="3284140919"/>
    <n v="7714365852"/>
    <x v="0"/>
    <n v="135"/>
    <n v="0"/>
    <n v="135"/>
    <x v="3"/>
    <x v="84"/>
    <x v="2"/>
    <x v="1"/>
    <x v="1"/>
    <x v="5"/>
  </r>
  <r>
    <s v="3IR5DUUQ5M"/>
    <n v="1519186646"/>
    <n v="8072567125"/>
    <x v="2"/>
    <n v="203"/>
    <n v="132"/>
    <n v="71"/>
    <x v="4"/>
    <x v="13"/>
    <x v="0"/>
    <x v="2"/>
    <x v="2"/>
    <x v="1"/>
  </r>
  <r>
    <s v="PM54Q7IGGF"/>
    <n v="6028720764"/>
    <n v="9077198075"/>
    <x v="3"/>
    <n v="472"/>
    <n v="472"/>
    <n v="0"/>
    <x v="7"/>
    <x v="50"/>
    <x v="1"/>
    <x v="2"/>
    <x v="0"/>
    <x v="7"/>
  </r>
  <r>
    <s v="8HM2VGTBHP"/>
    <n v="8417655171"/>
    <n v="5080353117"/>
    <x v="1"/>
    <n v="303"/>
    <n v="184"/>
    <n v="119"/>
    <x v="4"/>
    <x v="85"/>
    <x v="1"/>
    <x v="2"/>
    <x v="2"/>
    <x v="8"/>
  </r>
  <r>
    <s v="8M3S6ZC4GU"/>
    <n v="8257611017"/>
    <n v="3873027915"/>
    <x v="3"/>
    <n v="217"/>
    <n v="158"/>
    <n v="59"/>
    <x v="7"/>
    <x v="47"/>
    <x v="0"/>
    <x v="2"/>
    <x v="2"/>
    <x v="4"/>
  </r>
  <r>
    <s v="6RUEXRV795"/>
    <n v="539159241"/>
    <n v="563454150"/>
    <x v="1"/>
    <n v="444"/>
    <n v="324"/>
    <n v="120"/>
    <x v="4"/>
    <x v="86"/>
    <x v="1"/>
    <x v="1"/>
    <x v="2"/>
    <x v="8"/>
  </r>
  <r>
    <s v="WUXPAPYDJU"/>
    <n v="9457942986"/>
    <n v="6966673045"/>
    <x v="2"/>
    <n v="488"/>
    <n v="0"/>
    <n v="488"/>
    <x v="4"/>
    <x v="74"/>
    <x v="1"/>
    <x v="2"/>
    <x v="1"/>
    <x v="8"/>
  </r>
  <r>
    <s v="1M1MK6JZAL"/>
    <n v="3080431034"/>
    <n v="2819026310"/>
    <x v="2"/>
    <n v="144"/>
    <n v="0"/>
    <n v="144"/>
    <x v="1"/>
    <x v="71"/>
    <x v="1"/>
    <x v="2"/>
    <x v="1"/>
    <x v="8"/>
  </r>
  <r>
    <s v="F2LVCBX3C9"/>
    <n v="9814594406"/>
    <n v="2110313594"/>
    <x v="2"/>
    <n v="461"/>
    <n v="0"/>
    <n v="461"/>
    <x v="8"/>
    <x v="65"/>
    <x v="1"/>
    <x v="1"/>
    <x v="1"/>
    <x v="6"/>
  </r>
  <r>
    <s v="8JOH31L3XF"/>
    <n v="5371024172"/>
    <n v="263933529"/>
    <x v="1"/>
    <n v="126"/>
    <n v="0"/>
    <n v="126"/>
    <x v="0"/>
    <x v="21"/>
    <x v="2"/>
    <x v="1"/>
    <x v="1"/>
    <x v="8"/>
  </r>
  <r>
    <s v="9HQARUCJAZ"/>
    <n v="6965268510"/>
    <n v="7927019857"/>
    <x v="4"/>
    <n v="129"/>
    <n v="82"/>
    <n v="47"/>
    <x v="6"/>
    <x v="44"/>
    <x v="2"/>
    <x v="2"/>
    <x v="2"/>
    <x v="2"/>
  </r>
  <r>
    <s v="BBMF6OIC4Q"/>
    <n v="7149722931"/>
    <n v="9863745434"/>
    <x v="0"/>
    <n v="120"/>
    <n v="120"/>
    <n v="0"/>
    <x v="2"/>
    <x v="15"/>
    <x v="2"/>
    <x v="1"/>
    <x v="0"/>
    <x v="6"/>
  </r>
  <r>
    <s v="7QWWTFM7MQ"/>
    <n v="7754095572"/>
    <n v="6307034909"/>
    <x v="0"/>
    <n v="361"/>
    <n v="0"/>
    <n v="361"/>
    <x v="3"/>
    <x v="17"/>
    <x v="2"/>
    <x v="2"/>
    <x v="1"/>
    <x v="3"/>
  </r>
  <r>
    <s v="8JTYJBLKYX"/>
    <n v="61667750"/>
    <n v="3640025436"/>
    <x v="0"/>
    <n v="350"/>
    <n v="0"/>
    <n v="350"/>
    <x v="9"/>
    <x v="68"/>
    <x v="1"/>
    <x v="2"/>
    <x v="1"/>
    <x v="1"/>
  </r>
  <r>
    <s v="78U9JVB2CS"/>
    <n v="8554258997"/>
    <n v="4301309987"/>
    <x v="4"/>
    <n v="450"/>
    <n v="450"/>
    <n v="0"/>
    <x v="0"/>
    <x v="38"/>
    <x v="1"/>
    <x v="0"/>
    <x v="0"/>
    <x v="0"/>
  </r>
  <r>
    <s v="0ELR493PP9"/>
    <n v="9615986059"/>
    <n v="4259262565"/>
    <x v="2"/>
    <n v="133"/>
    <n v="0"/>
    <n v="133"/>
    <x v="7"/>
    <x v="62"/>
    <x v="0"/>
    <x v="2"/>
    <x v="1"/>
    <x v="4"/>
  </r>
  <r>
    <s v="NYK85QFJ0M"/>
    <n v="5735726063"/>
    <n v="5714659263"/>
    <x v="0"/>
    <n v="484"/>
    <n v="484"/>
    <n v="0"/>
    <x v="7"/>
    <x v="3"/>
    <x v="1"/>
    <x v="2"/>
    <x v="0"/>
    <x v="8"/>
  </r>
  <r>
    <s v="7U2W94AYFZ"/>
    <n v="7173851900"/>
    <n v="9964057423"/>
    <x v="0"/>
    <n v="147"/>
    <n v="0"/>
    <n v="147"/>
    <x v="0"/>
    <x v="22"/>
    <x v="0"/>
    <x v="2"/>
    <x v="1"/>
    <x v="1"/>
  </r>
  <r>
    <s v="UVS6HAYALP"/>
    <n v="6694579282"/>
    <n v="9440826536"/>
    <x v="3"/>
    <n v="376"/>
    <n v="211"/>
    <n v="165"/>
    <x v="7"/>
    <x v="16"/>
    <x v="2"/>
    <x v="1"/>
    <x v="2"/>
    <x v="4"/>
  </r>
  <r>
    <s v="ES1H10757M"/>
    <n v="7233443454"/>
    <n v="9145404833"/>
    <x v="1"/>
    <n v="117"/>
    <n v="0"/>
    <n v="117"/>
    <x v="6"/>
    <x v="2"/>
    <x v="2"/>
    <x v="1"/>
    <x v="1"/>
    <x v="4"/>
  </r>
  <r>
    <s v="T8V8F2TJVN"/>
    <n v="2928797033"/>
    <n v="1157207911"/>
    <x v="0"/>
    <n v="119"/>
    <n v="0"/>
    <n v="119"/>
    <x v="1"/>
    <x v="41"/>
    <x v="0"/>
    <x v="2"/>
    <x v="1"/>
    <x v="3"/>
  </r>
  <r>
    <s v="BADGAN63O1"/>
    <n v="456145390"/>
    <n v="9008471630"/>
    <x v="1"/>
    <n v="172"/>
    <n v="172"/>
    <n v="0"/>
    <x v="8"/>
    <x v="6"/>
    <x v="0"/>
    <x v="1"/>
    <x v="0"/>
    <x v="3"/>
  </r>
  <r>
    <s v="75AMCU420G"/>
    <n v="7285626297"/>
    <n v="286087718"/>
    <x v="1"/>
    <n v="177"/>
    <n v="177"/>
    <n v="0"/>
    <x v="2"/>
    <x v="40"/>
    <x v="1"/>
    <x v="2"/>
    <x v="0"/>
    <x v="3"/>
  </r>
  <r>
    <s v="BRLBQB5Z8W"/>
    <n v="2869409083"/>
    <n v="1114596644"/>
    <x v="3"/>
    <n v="485"/>
    <n v="485"/>
    <n v="0"/>
    <x v="3"/>
    <x v="87"/>
    <x v="1"/>
    <x v="0"/>
    <x v="0"/>
    <x v="0"/>
  </r>
  <r>
    <s v="AFCVL9N05Z"/>
    <n v="369668919"/>
    <n v="3458366761"/>
    <x v="2"/>
    <n v="108"/>
    <n v="108"/>
    <n v="0"/>
    <x v="8"/>
    <x v="14"/>
    <x v="2"/>
    <x v="0"/>
    <x v="0"/>
    <x v="0"/>
  </r>
  <r>
    <s v="02HDTMEYBE"/>
    <n v="711858460"/>
    <n v="2461117828"/>
    <x v="2"/>
    <n v="330"/>
    <n v="330"/>
    <n v="0"/>
    <x v="6"/>
    <x v="59"/>
    <x v="0"/>
    <x v="1"/>
    <x v="0"/>
    <x v="8"/>
  </r>
  <r>
    <s v="RYK7V1USXY"/>
    <n v="5897418358"/>
    <n v="2950177319"/>
    <x v="1"/>
    <n v="336"/>
    <n v="336"/>
    <n v="0"/>
    <x v="3"/>
    <x v="27"/>
    <x v="0"/>
    <x v="0"/>
    <x v="0"/>
    <x v="0"/>
  </r>
  <r>
    <s v="H78BQWI46Q"/>
    <n v="4795470270"/>
    <n v="8971832176"/>
    <x v="2"/>
    <n v="496"/>
    <n v="0"/>
    <n v="496"/>
    <x v="6"/>
    <x v="65"/>
    <x v="2"/>
    <x v="1"/>
    <x v="1"/>
    <x v="5"/>
  </r>
  <r>
    <s v="L70MLPG9WX"/>
    <n v="7151448663"/>
    <n v="7713679245"/>
    <x v="3"/>
    <n v="418"/>
    <n v="0"/>
    <n v="418"/>
    <x v="5"/>
    <x v="30"/>
    <x v="1"/>
    <x v="1"/>
    <x v="1"/>
    <x v="5"/>
  </r>
  <r>
    <s v="ASAGRMN99L"/>
    <n v="9775867752"/>
    <n v="8170476216"/>
    <x v="4"/>
    <n v="242"/>
    <n v="242"/>
    <n v="0"/>
    <x v="0"/>
    <x v="26"/>
    <x v="0"/>
    <x v="2"/>
    <x v="0"/>
    <x v="7"/>
  </r>
  <r>
    <s v="FP4D1HMS97"/>
    <n v="5645859777"/>
    <n v="1205973975"/>
    <x v="4"/>
    <n v="276"/>
    <n v="221"/>
    <n v="55"/>
    <x v="5"/>
    <x v="34"/>
    <x v="1"/>
    <x v="2"/>
    <x v="2"/>
    <x v="2"/>
  </r>
  <r>
    <s v="JTXKJPEWZQ"/>
    <n v="5502957837"/>
    <n v="6805658855"/>
    <x v="0"/>
    <n v="315"/>
    <n v="0"/>
    <n v="315"/>
    <x v="3"/>
    <x v="48"/>
    <x v="0"/>
    <x v="1"/>
    <x v="1"/>
    <x v="2"/>
  </r>
  <r>
    <s v="DE86ZVSWGN"/>
    <n v="573093068"/>
    <n v="6807012361"/>
    <x v="4"/>
    <n v="493"/>
    <n v="493"/>
    <n v="0"/>
    <x v="4"/>
    <x v="88"/>
    <x v="2"/>
    <x v="1"/>
    <x v="0"/>
    <x v="2"/>
  </r>
  <r>
    <s v="KBNFZU8SYL"/>
    <n v="9072621104"/>
    <n v="1729742693"/>
    <x v="4"/>
    <n v="463"/>
    <n v="0"/>
    <n v="463"/>
    <x v="3"/>
    <x v="69"/>
    <x v="1"/>
    <x v="2"/>
    <x v="1"/>
    <x v="6"/>
  </r>
  <r>
    <s v="B7CSMGD65V"/>
    <n v="5018192446"/>
    <n v="1376607162"/>
    <x v="2"/>
    <n v="248"/>
    <n v="181"/>
    <n v="67"/>
    <x v="3"/>
    <x v="31"/>
    <x v="2"/>
    <x v="1"/>
    <x v="2"/>
    <x v="8"/>
  </r>
  <r>
    <s v="BM46KSJ4FY"/>
    <n v="3429716470"/>
    <n v="6436277541"/>
    <x v="0"/>
    <n v="382"/>
    <n v="382"/>
    <n v="0"/>
    <x v="4"/>
    <x v="48"/>
    <x v="1"/>
    <x v="0"/>
    <x v="0"/>
    <x v="0"/>
  </r>
  <r>
    <s v="TNT7EEVKZX"/>
    <n v="2806576174"/>
    <n v="6537516979"/>
    <x v="1"/>
    <n v="370"/>
    <n v="261"/>
    <n v="109"/>
    <x v="1"/>
    <x v="43"/>
    <x v="0"/>
    <x v="1"/>
    <x v="2"/>
    <x v="6"/>
  </r>
  <r>
    <s v="XRRAATHX7I"/>
    <n v="7385813323"/>
    <n v="7534373250"/>
    <x v="4"/>
    <n v="119"/>
    <n v="119"/>
    <n v="0"/>
    <x v="2"/>
    <x v="18"/>
    <x v="2"/>
    <x v="0"/>
    <x v="0"/>
    <x v="0"/>
  </r>
  <r>
    <s v="4LMUCC6EEL"/>
    <n v="5841571573"/>
    <n v="7939533727"/>
    <x v="1"/>
    <n v="395"/>
    <n v="395"/>
    <n v="0"/>
    <x v="3"/>
    <x v="65"/>
    <x v="0"/>
    <x v="0"/>
    <x v="0"/>
    <x v="0"/>
  </r>
  <r>
    <s v="CPRNC20S0K"/>
    <n v="4719008136"/>
    <n v="5870158015"/>
    <x v="4"/>
    <n v="379"/>
    <n v="379"/>
    <n v="0"/>
    <x v="6"/>
    <x v="17"/>
    <x v="1"/>
    <x v="1"/>
    <x v="0"/>
    <x v="5"/>
  </r>
  <r>
    <s v="CVF7Y7KAOZ"/>
    <n v="7101620088"/>
    <n v="3150047663"/>
    <x v="1"/>
    <n v="367"/>
    <n v="367"/>
    <n v="0"/>
    <x v="9"/>
    <x v="31"/>
    <x v="2"/>
    <x v="0"/>
    <x v="0"/>
    <x v="0"/>
  </r>
  <r>
    <s v="R7RLXFRSWX"/>
    <n v="4228202914"/>
    <n v="9942429653"/>
    <x v="1"/>
    <n v="297"/>
    <n v="213"/>
    <n v="84"/>
    <x v="8"/>
    <x v="89"/>
    <x v="1"/>
    <x v="2"/>
    <x v="2"/>
    <x v="6"/>
  </r>
  <r>
    <s v="FNX1TBN1XF"/>
    <n v="338258200"/>
    <n v="2073344282"/>
    <x v="3"/>
    <n v="445"/>
    <n v="445"/>
    <n v="0"/>
    <x v="4"/>
    <x v="90"/>
    <x v="1"/>
    <x v="0"/>
    <x v="0"/>
    <x v="0"/>
  </r>
  <r>
    <s v="WE9JLOLRC8"/>
    <n v="5076752709"/>
    <n v="7310074933"/>
    <x v="1"/>
    <n v="474"/>
    <n v="0"/>
    <n v="474"/>
    <x v="1"/>
    <x v="28"/>
    <x v="2"/>
    <x v="1"/>
    <x v="1"/>
    <x v="5"/>
  </r>
  <r>
    <s v="UXDDPVCG8H"/>
    <n v="2247565484"/>
    <n v="177752633"/>
    <x v="1"/>
    <n v="143"/>
    <n v="143"/>
    <n v="0"/>
    <x v="4"/>
    <x v="85"/>
    <x v="0"/>
    <x v="0"/>
    <x v="0"/>
    <x v="0"/>
  </r>
  <r>
    <s v="IN0BAMQIXM"/>
    <n v="6662024316"/>
    <n v="3995084617"/>
    <x v="1"/>
    <n v="445"/>
    <n v="326"/>
    <n v="119"/>
    <x v="8"/>
    <x v="74"/>
    <x v="1"/>
    <x v="2"/>
    <x v="2"/>
    <x v="2"/>
  </r>
  <r>
    <s v="B5ULJ1M5SS"/>
    <n v="7517757181"/>
    <n v="801630084"/>
    <x v="0"/>
    <n v="291"/>
    <n v="0"/>
    <n v="291"/>
    <x v="6"/>
    <x v="29"/>
    <x v="1"/>
    <x v="2"/>
    <x v="1"/>
    <x v="4"/>
  </r>
  <r>
    <s v="90VPEVGZTG"/>
    <n v="3163924465"/>
    <n v="8706697959"/>
    <x v="2"/>
    <n v="359"/>
    <n v="359"/>
    <n v="0"/>
    <x v="5"/>
    <x v="8"/>
    <x v="2"/>
    <x v="0"/>
    <x v="0"/>
    <x v="0"/>
  </r>
  <r>
    <s v="GO8ABAHN8D"/>
    <n v="5202330429"/>
    <n v="9305137373"/>
    <x v="0"/>
    <n v="246"/>
    <n v="0"/>
    <n v="246"/>
    <x v="5"/>
    <x v="55"/>
    <x v="1"/>
    <x v="2"/>
    <x v="1"/>
    <x v="5"/>
  </r>
  <r>
    <s v="2Q8UK89CPS"/>
    <n v="1763031570"/>
    <n v="5386974299"/>
    <x v="2"/>
    <n v="441"/>
    <n v="441"/>
    <n v="0"/>
    <x v="7"/>
    <x v="83"/>
    <x v="0"/>
    <x v="1"/>
    <x v="0"/>
    <x v="5"/>
  </r>
  <r>
    <s v="J0JCK9H2HR"/>
    <n v="1248011421"/>
    <n v="102660729"/>
    <x v="1"/>
    <n v="166"/>
    <n v="166"/>
    <n v="0"/>
    <x v="5"/>
    <x v="36"/>
    <x v="2"/>
    <x v="2"/>
    <x v="0"/>
    <x v="6"/>
  </r>
  <r>
    <s v="MU2O5Y4HBK"/>
    <n v="2448387310"/>
    <n v="3213129998"/>
    <x v="3"/>
    <n v="483"/>
    <n v="483"/>
    <n v="0"/>
    <x v="2"/>
    <x v="52"/>
    <x v="0"/>
    <x v="2"/>
    <x v="0"/>
    <x v="1"/>
  </r>
  <r>
    <s v="BH0DC85TS6"/>
    <n v="9877748959"/>
    <n v="9935998291"/>
    <x v="4"/>
    <n v="206"/>
    <n v="206"/>
    <n v="0"/>
    <x v="4"/>
    <x v="60"/>
    <x v="2"/>
    <x v="1"/>
    <x v="0"/>
    <x v="7"/>
  </r>
  <r>
    <s v="TC3HF0R7CG"/>
    <n v="8320900159"/>
    <n v="9179542709"/>
    <x v="1"/>
    <n v="419"/>
    <n v="419"/>
    <n v="0"/>
    <x v="0"/>
    <x v="87"/>
    <x v="2"/>
    <x v="0"/>
    <x v="0"/>
    <x v="0"/>
  </r>
  <r>
    <s v="6YE0Z7FPZF"/>
    <n v="4359325467"/>
    <n v="9127898694"/>
    <x v="3"/>
    <n v="214"/>
    <n v="0"/>
    <n v="214"/>
    <x v="4"/>
    <x v="67"/>
    <x v="2"/>
    <x v="1"/>
    <x v="1"/>
    <x v="4"/>
  </r>
  <r>
    <s v="VIQOSRTPW6"/>
    <n v="9233010989"/>
    <n v="3902268195"/>
    <x v="1"/>
    <n v="331"/>
    <n v="331"/>
    <n v="0"/>
    <x v="4"/>
    <x v="73"/>
    <x v="2"/>
    <x v="0"/>
    <x v="0"/>
    <x v="0"/>
  </r>
  <r>
    <s v="R4TIU6SCHJ"/>
    <n v="85050275"/>
    <n v="2068240474"/>
    <x v="0"/>
    <n v="414"/>
    <n v="414"/>
    <n v="0"/>
    <x v="8"/>
    <x v="38"/>
    <x v="0"/>
    <x v="0"/>
    <x v="0"/>
    <x v="0"/>
  </r>
  <r>
    <s v="6JFCY852AG"/>
    <n v="2431179878"/>
    <n v="6019180780"/>
    <x v="1"/>
    <n v="123"/>
    <n v="70"/>
    <n v="53"/>
    <x v="2"/>
    <x v="22"/>
    <x v="2"/>
    <x v="2"/>
    <x v="2"/>
    <x v="4"/>
  </r>
  <r>
    <s v="BPQGMWQA5R"/>
    <n v="572724767"/>
    <n v="4513260071"/>
    <x v="1"/>
    <n v="348"/>
    <n v="348"/>
    <n v="0"/>
    <x v="0"/>
    <x v="1"/>
    <x v="0"/>
    <x v="2"/>
    <x v="0"/>
    <x v="5"/>
  </r>
  <r>
    <s v="5TKHQC4OPH"/>
    <n v="8974653448"/>
    <n v="9745060647"/>
    <x v="3"/>
    <n v="412"/>
    <n v="412"/>
    <n v="0"/>
    <x v="9"/>
    <x v="91"/>
    <x v="0"/>
    <x v="0"/>
    <x v="0"/>
    <x v="0"/>
  </r>
  <r>
    <s v="OLX3Q4HRIX"/>
    <n v="6733145733"/>
    <n v="8958657001"/>
    <x v="2"/>
    <n v="320"/>
    <n v="320"/>
    <n v="0"/>
    <x v="0"/>
    <x v="29"/>
    <x v="2"/>
    <x v="0"/>
    <x v="0"/>
    <x v="0"/>
  </r>
  <r>
    <s v="3VEZPISXYZ"/>
    <n v="9514225566"/>
    <n v="7417850570"/>
    <x v="1"/>
    <n v="472"/>
    <n v="472"/>
    <n v="0"/>
    <x v="8"/>
    <x v="80"/>
    <x v="2"/>
    <x v="0"/>
    <x v="0"/>
    <x v="0"/>
  </r>
  <r>
    <s v="FQBY5Z2ZG2"/>
    <n v="6282616529"/>
    <n v="2726589636"/>
    <x v="4"/>
    <n v="208"/>
    <n v="167"/>
    <n v="41"/>
    <x v="9"/>
    <x v="76"/>
    <x v="1"/>
    <x v="1"/>
    <x v="2"/>
    <x v="3"/>
  </r>
  <r>
    <s v="DTYB61YENA"/>
    <n v="624597876"/>
    <n v="7975721708"/>
    <x v="2"/>
    <n v="431"/>
    <n v="431"/>
    <n v="0"/>
    <x v="3"/>
    <x v="25"/>
    <x v="0"/>
    <x v="1"/>
    <x v="0"/>
    <x v="3"/>
  </r>
  <r>
    <s v="RZUF3PE99H"/>
    <n v="4317187883"/>
    <n v="8605154861"/>
    <x v="0"/>
    <n v="331"/>
    <n v="0"/>
    <n v="331"/>
    <x v="9"/>
    <x v="15"/>
    <x v="1"/>
    <x v="2"/>
    <x v="1"/>
    <x v="6"/>
  </r>
  <r>
    <s v="SVR2H11FYO"/>
    <n v="6813884956"/>
    <n v="1223676820"/>
    <x v="1"/>
    <n v="485"/>
    <n v="389"/>
    <n v="96"/>
    <x v="3"/>
    <x v="32"/>
    <x v="0"/>
    <x v="1"/>
    <x v="2"/>
    <x v="2"/>
  </r>
  <r>
    <s v="01L9NHVIUU"/>
    <n v="5500130250"/>
    <n v="8682114584"/>
    <x v="2"/>
    <n v="483"/>
    <n v="0"/>
    <n v="483"/>
    <x v="4"/>
    <x v="25"/>
    <x v="2"/>
    <x v="2"/>
    <x v="1"/>
    <x v="8"/>
  </r>
  <r>
    <s v="OAQOSKB3CR"/>
    <n v="6766860390"/>
    <n v="3955425817"/>
    <x v="3"/>
    <n v="165"/>
    <n v="165"/>
    <n v="0"/>
    <x v="2"/>
    <x v="84"/>
    <x v="1"/>
    <x v="2"/>
    <x v="0"/>
    <x v="3"/>
  </r>
  <r>
    <s v="R2SLJKKWFZ"/>
    <n v="3392888571"/>
    <n v="1561872991"/>
    <x v="2"/>
    <n v="140"/>
    <n v="140"/>
    <n v="0"/>
    <x v="9"/>
    <x v="89"/>
    <x v="1"/>
    <x v="0"/>
    <x v="0"/>
    <x v="0"/>
  </r>
  <r>
    <s v="LQYHO7NJCW"/>
    <n v="5416156337"/>
    <n v="3838996686"/>
    <x v="1"/>
    <n v="432"/>
    <n v="432"/>
    <n v="0"/>
    <x v="2"/>
    <x v="17"/>
    <x v="1"/>
    <x v="0"/>
    <x v="0"/>
    <x v="0"/>
  </r>
  <r>
    <s v="GHVECIEWLH"/>
    <n v="1924041130"/>
    <n v="7585731683"/>
    <x v="3"/>
    <n v="275"/>
    <n v="275"/>
    <n v="0"/>
    <x v="7"/>
    <x v="59"/>
    <x v="0"/>
    <x v="0"/>
    <x v="0"/>
    <x v="0"/>
  </r>
  <r>
    <s v="C3PKOULKZP"/>
    <n v="9161236353"/>
    <n v="5969232788"/>
    <x v="4"/>
    <n v="114"/>
    <n v="0"/>
    <n v="114"/>
    <x v="4"/>
    <x v="56"/>
    <x v="1"/>
    <x v="1"/>
    <x v="1"/>
    <x v="8"/>
  </r>
  <r>
    <s v="IFPYN6IAQA"/>
    <n v="7892313469"/>
    <n v="6866415132"/>
    <x v="0"/>
    <n v="360"/>
    <n v="0"/>
    <n v="360"/>
    <x v="8"/>
    <x v="75"/>
    <x v="0"/>
    <x v="2"/>
    <x v="1"/>
    <x v="2"/>
  </r>
  <r>
    <s v="96MDHYJRRY"/>
    <n v="7252880086"/>
    <n v="4090505090"/>
    <x v="1"/>
    <n v="190"/>
    <n v="164"/>
    <n v="26"/>
    <x v="0"/>
    <x v="34"/>
    <x v="1"/>
    <x v="2"/>
    <x v="2"/>
    <x v="5"/>
  </r>
  <r>
    <s v="N0T94WRUFA"/>
    <n v="2374833283"/>
    <n v="33738494"/>
    <x v="0"/>
    <n v="170"/>
    <n v="112"/>
    <n v="58"/>
    <x v="1"/>
    <x v="19"/>
    <x v="0"/>
    <x v="2"/>
    <x v="2"/>
    <x v="5"/>
  </r>
  <r>
    <s v="C9ZBG0R9D0"/>
    <n v="8061890872"/>
    <n v="6614375516"/>
    <x v="0"/>
    <n v="307"/>
    <n v="242"/>
    <n v="65"/>
    <x v="2"/>
    <x v="39"/>
    <x v="1"/>
    <x v="1"/>
    <x v="2"/>
    <x v="5"/>
  </r>
  <r>
    <s v="KIDOEFPCL0"/>
    <n v="8423780474"/>
    <n v="6007440157"/>
    <x v="2"/>
    <n v="393"/>
    <n v="393"/>
    <n v="0"/>
    <x v="8"/>
    <x v="80"/>
    <x v="0"/>
    <x v="0"/>
    <x v="0"/>
    <x v="0"/>
  </r>
  <r>
    <s v="B9L38ZKA7V"/>
    <n v="3489681201"/>
    <n v="9521876139"/>
    <x v="3"/>
    <n v="134"/>
    <n v="134"/>
    <n v="0"/>
    <x v="3"/>
    <x v="0"/>
    <x v="0"/>
    <x v="0"/>
    <x v="0"/>
    <x v="0"/>
  </r>
  <r>
    <s v="8EW7CJOK89"/>
    <n v="6592069398"/>
    <n v="990756856"/>
    <x v="3"/>
    <n v="168"/>
    <n v="168"/>
    <n v="0"/>
    <x v="2"/>
    <x v="74"/>
    <x v="2"/>
    <x v="0"/>
    <x v="0"/>
    <x v="0"/>
  </r>
  <r>
    <s v="DH2T793H5U"/>
    <n v="2738249899"/>
    <n v="4476871677"/>
    <x v="3"/>
    <n v="208"/>
    <n v="208"/>
    <n v="0"/>
    <x v="1"/>
    <x v="17"/>
    <x v="0"/>
    <x v="2"/>
    <x v="0"/>
    <x v="3"/>
  </r>
  <r>
    <s v="FSKS53L7J4"/>
    <n v="6759559384"/>
    <n v="7560566891"/>
    <x v="0"/>
    <n v="483"/>
    <n v="483"/>
    <n v="0"/>
    <x v="2"/>
    <x v="6"/>
    <x v="2"/>
    <x v="2"/>
    <x v="0"/>
    <x v="7"/>
  </r>
  <r>
    <s v="5WEE0PSTC3"/>
    <n v="6706821299"/>
    <n v="1125988637"/>
    <x v="3"/>
    <n v="159"/>
    <n v="159"/>
    <n v="0"/>
    <x v="6"/>
    <x v="42"/>
    <x v="1"/>
    <x v="2"/>
    <x v="0"/>
    <x v="1"/>
  </r>
  <r>
    <s v="UMCTO3BEC0"/>
    <n v="5729809420"/>
    <n v="124459893"/>
    <x v="3"/>
    <n v="159"/>
    <n v="99"/>
    <n v="60"/>
    <x v="2"/>
    <x v="85"/>
    <x v="1"/>
    <x v="1"/>
    <x v="2"/>
    <x v="5"/>
  </r>
  <r>
    <s v="H4QNL8ZBRP"/>
    <n v="8426605489"/>
    <n v="1775175627"/>
    <x v="4"/>
    <n v="460"/>
    <n v="460"/>
    <n v="0"/>
    <x v="6"/>
    <x v="48"/>
    <x v="1"/>
    <x v="2"/>
    <x v="0"/>
    <x v="3"/>
  </r>
  <r>
    <s v="1RSN8PDSYU"/>
    <n v="5859909550"/>
    <n v="368241742"/>
    <x v="2"/>
    <n v="410"/>
    <n v="410"/>
    <n v="0"/>
    <x v="3"/>
    <x v="54"/>
    <x v="0"/>
    <x v="2"/>
    <x v="0"/>
    <x v="3"/>
  </r>
  <r>
    <s v="XD8C82CW3P"/>
    <n v="5030320086"/>
    <n v="5065412167"/>
    <x v="4"/>
    <n v="162"/>
    <n v="103"/>
    <n v="59"/>
    <x v="1"/>
    <x v="59"/>
    <x v="2"/>
    <x v="2"/>
    <x v="2"/>
    <x v="5"/>
  </r>
  <r>
    <s v="16QBHSWXOJ"/>
    <n v="9263611103"/>
    <n v="2628036298"/>
    <x v="4"/>
    <n v="304"/>
    <n v="304"/>
    <n v="0"/>
    <x v="6"/>
    <x v="61"/>
    <x v="2"/>
    <x v="0"/>
    <x v="0"/>
    <x v="0"/>
  </r>
  <r>
    <s v="3XS4QK00DY"/>
    <n v="1612789267"/>
    <n v="2615650727"/>
    <x v="0"/>
    <n v="216"/>
    <n v="216"/>
    <n v="0"/>
    <x v="6"/>
    <x v="54"/>
    <x v="2"/>
    <x v="0"/>
    <x v="0"/>
    <x v="0"/>
  </r>
  <r>
    <s v="SPFYYRQ9GH"/>
    <n v="2560917013"/>
    <n v="1136643067"/>
    <x v="3"/>
    <n v="382"/>
    <n v="286"/>
    <n v="96"/>
    <x v="6"/>
    <x v="92"/>
    <x v="1"/>
    <x v="2"/>
    <x v="2"/>
    <x v="1"/>
  </r>
  <r>
    <s v="CCDDLJ7UW8"/>
    <n v="8580010110"/>
    <n v="7662231425"/>
    <x v="1"/>
    <n v="474"/>
    <n v="474"/>
    <n v="0"/>
    <x v="6"/>
    <x v="39"/>
    <x v="1"/>
    <x v="0"/>
    <x v="0"/>
    <x v="0"/>
  </r>
  <r>
    <s v="0WRW4TL9HD"/>
    <n v="2460239809"/>
    <n v="5529613276"/>
    <x v="3"/>
    <n v="405"/>
    <n v="0"/>
    <n v="405"/>
    <x v="6"/>
    <x v="41"/>
    <x v="1"/>
    <x v="2"/>
    <x v="1"/>
    <x v="5"/>
  </r>
  <r>
    <s v="BM10M6FKNZ"/>
    <n v="4697382519"/>
    <n v="4833982669"/>
    <x v="4"/>
    <n v="143"/>
    <n v="143"/>
    <n v="0"/>
    <x v="6"/>
    <x v="62"/>
    <x v="2"/>
    <x v="0"/>
    <x v="0"/>
    <x v="0"/>
  </r>
  <r>
    <s v="AHYTK3IUCS"/>
    <n v="9782402922"/>
    <n v="1307098193"/>
    <x v="1"/>
    <n v="303"/>
    <n v="194"/>
    <n v="109"/>
    <x v="8"/>
    <x v="36"/>
    <x v="0"/>
    <x v="1"/>
    <x v="2"/>
    <x v="7"/>
  </r>
  <r>
    <s v="9VLDIYIQ8G"/>
    <n v="9057920106"/>
    <n v="6942480177"/>
    <x v="0"/>
    <n v="307"/>
    <n v="307"/>
    <n v="0"/>
    <x v="5"/>
    <x v="10"/>
    <x v="2"/>
    <x v="0"/>
    <x v="0"/>
    <x v="0"/>
  </r>
  <r>
    <s v="AXFYJ7MX3A"/>
    <n v="8677752721"/>
    <n v="4601673540"/>
    <x v="2"/>
    <n v="141"/>
    <n v="0"/>
    <n v="141"/>
    <x v="3"/>
    <x v="39"/>
    <x v="2"/>
    <x v="2"/>
    <x v="1"/>
    <x v="6"/>
  </r>
  <r>
    <s v="NY9SLPB2UB"/>
    <n v="483386493"/>
    <n v="5630015141"/>
    <x v="2"/>
    <n v="423"/>
    <n v="423"/>
    <n v="0"/>
    <x v="6"/>
    <x v="27"/>
    <x v="2"/>
    <x v="1"/>
    <x v="0"/>
    <x v="4"/>
  </r>
  <r>
    <s v="WQJ50L25Y4"/>
    <n v="6597943752"/>
    <n v="6244168815"/>
    <x v="1"/>
    <n v="331"/>
    <n v="0"/>
    <n v="331"/>
    <x v="5"/>
    <x v="7"/>
    <x v="1"/>
    <x v="1"/>
    <x v="1"/>
    <x v="6"/>
  </r>
  <r>
    <s v="LRU2G1YR12"/>
    <n v="2965863246"/>
    <n v="8447651611"/>
    <x v="3"/>
    <n v="134"/>
    <n v="93"/>
    <n v="41"/>
    <x v="9"/>
    <x v="51"/>
    <x v="0"/>
    <x v="2"/>
    <x v="2"/>
    <x v="5"/>
  </r>
  <r>
    <s v="J9ECN1F636"/>
    <n v="4869510072"/>
    <n v="2805664052"/>
    <x v="4"/>
    <n v="385"/>
    <n v="385"/>
    <n v="0"/>
    <x v="8"/>
    <x v="58"/>
    <x v="0"/>
    <x v="1"/>
    <x v="0"/>
    <x v="3"/>
  </r>
  <r>
    <s v="C7Z7JJWRJN"/>
    <n v="440299261"/>
    <n v="2625304415"/>
    <x v="2"/>
    <n v="464"/>
    <n v="0"/>
    <n v="464"/>
    <x v="0"/>
    <x v="81"/>
    <x v="0"/>
    <x v="1"/>
    <x v="1"/>
    <x v="4"/>
  </r>
  <r>
    <s v="1QJPSYN8CF"/>
    <n v="8387167886"/>
    <n v="6937966604"/>
    <x v="2"/>
    <n v="169"/>
    <n v="117"/>
    <n v="52"/>
    <x v="4"/>
    <x v="83"/>
    <x v="1"/>
    <x v="1"/>
    <x v="2"/>
    <x v="8"/>
  </r>
  <r>
    <s v="VGUXDCV9Y8"/>
    <n v="2927077214"/>
    <n v="5735515689"/>
    <x v="0"/>
    <n v="118"/>
    <n v="118"/>
    <n v="0"/>
    <x v="1"/>
    <x v="10"/>
    <x v="1"/>
    <x v="1"/>
    <x v="0"/>
    <x v="6"/>
  </r>
  <r>
    <s v="4K4Z6BCD6J"/>
    <n v="6929356945"/>
    <n v="2851563376"/>
    <x v="2"/>
    <n v="339"/>
    <n v="339"/>
    <n v="0"/>
    <x v="1"/>
    <x v="68"/>
    <x v="2"/>
    <x v="0"/>
    <x v="0"/>
    <x v="0"/>
  </r>
  <r>
    <s v="C00FD4KL4V"/>
    <n v="8409632684"/>
    <n v="5733036311"/>
    <x v="0"/>
    <n v="286"/>
    <n v="0"/>
    <n v="286"/>
    <x v="1"/>
    <x v="8"/>
    <x v="2"/>
    <x v="2"/>
    <x v="1"/>
    <x v="5"/>
  </r>
  <r>
    <s v="DNFMWNRD9U"/>
    <n v="9590068541"/>
    <n v="9571328178"/>
    <x v="1"/>
    <n v="111"/>
    <n v="111"/>
    <n v="0"/>
    <x v="9"/>
    <x v="9"/>
    <x v="0"/>
    <x v="2"/>
    <x v="0"/>
    <x v="4"/>
  </r>
  <r>
    <s v="9Y4KE7SXSQ"/>
    <n v="169749219"/>
    <n v="962093076"/>
    <x v="3"/>
    <n v="322"/>
    <n v="322"/>
    <n v="0"/>
    <x v="5"/>
    <x v="26"/>
    <x v="0"/>
    <x v="0"/>
    <x v="0"/>
    <x v="0"/>
  </r>
  <r>
    <s v="DAVFOV90QE"/>
    <n v="1403744869"/>
    <n v="5971718138"/>
    <x v="3"/>
    <n v="197"/>
    <n v="197"/>
    <n v="0"/>
    <x v="9"/>
    <x v="42"/>
    <x v="2"/>
    <x v="2"/>
    <x v="0"/>
    <x v="6"/>
  </r>
  <r>
    <s v="SDC9H2BOJC"/>
    <n v="4805561025"/>
    <n v="9026963603"/>
    <x v="3"/>
    <n v="232"/>
    <n v="232"/>
    <n v="0"/>
    <x v="1"/>
    <x v="69"/>
    <x v="0"/>
    <x v="0"/>
    <x v="0"/>
    <x v="0"/>
  </r>
  <r>
    <s v="AZLH3XYRRW"/>
    <n v="8105376676"/>
    <n v="4316744945"/>
    <x v="0"/>
    <n v="395"/>
    <n v="288"/>
    <n v="107"/>
    <x v="9"/>
    <x v="12"/>
    <x v="0"/>
    <x v="1"/>
    <x v="2"/>
    <x v="4"/>
  </r>
  <r>
    <s v="IVSNZQUSXZ"/>
    <n v="9149963473"/>
    <n v="8204490032"/>
    <x v="0"/>
    <n v="177"/>
    <n v="177"/>
    <n v="0"/>
    <x v="9"/>
    <x v="48"/>
    <x v="1"/>
    <x v="0"/>
    <x v="0"/>
    <x v="0"/>
  </r>
  <r>
    <s v="Z33I5R1X6S"/>
    <n v="9772695323"/>
    <n v="9883754872"/>
    <x v="4"/>
    <n v="392"/>
    <n v="392"/>
    <n v="0"/>
    <x v="4"/>
    <x v="46"/>
    <x v="1"/>
    <x v="0"/>
    <x v="0"/>
    <x v="0"/>
  </r>
  <r>
    <s v="12RGJ3FDA4"/>
    <n v="7120927920"/>
    <n v="9180186945"/>
    <x v="1"/>
    <n v="364"/>
    <n v="0"/>
    <n v="364"/>
    <x v="9"/>
    <x v="29"/>
    <x v="1"/>
    <x v="1"/>
    <x v="1"/>
    <x v="3"/>
  </r>
  <r>
    <s v="OF3WTXDV0U"/>
    <n v="9421357067"/>
    <n v="4534495166"/>
    <x v="3"/>
    <n v="449"/>
    <n v="449"/>
    <n v="0"/>
    <x v="5"/>
    <x v="68"/>
    <x v="0"/>
    <x v="1"/>
    <x v="0"/>
    <x v="7"/>
  </r>
  <r>
    <s v="OLJ2M5UCO2"/>
    <n v="5291618217"/>
    <n v="7503967101"/>
    <x v="1"/>
    <n v="208"/>
    <n v="145"/>
    <n v="63"/>
    <x v="0"/>
    <x v="58"/>
    <x v="0"/>
    <x v="1"/>
    <x v="2"/>
    <x v="2"/>
  </r>
  <r>
    <s v="20OHERICHK"/>
    <n v="9689538816"/>
    <n v="1827322184"/>
    <x v="0"/>
    <n v="316"/>
    <n v="316"/>
    <n v="0"/>
    <x v="5"/>
    <x v="90"/>
    <x v="1"/>
    <x v="0"/>
    <x v="0"/>
    <x v="0"/>
  </r>
  <r>
    <s v="X32L8C6W1X"/>
    <n v="9278720661"/>
    <n v="6359250480"/>
    <x v="2"/>
    <n v="424"/>
    <n v="424"/>
    <n v="0"/>
    <x v="4"/>
    <x v="32"/>
    <x v="0"/>
    <x v="0"/>
    <x v="0"/>
    <x v="0"/>
  </r>
  <r>
    <s v="KRQ6IPHZYW"/>
    <n v="7773137379"/>
    <n v="510041844"/>
    <x v="0"/>
    <n v="108"/>
    <n v="108"/>
    <n v="0"/>
    <x v="4"/>
    <x v="16"/>
    <x v="1"/>
    <x v="0"/>
    <x v="0"/>
    <x v="0"/>
  </r>
  <r>
    <s v="VTAUFJ7BKN"/>
    <n v="1481021019"/>
    <n v="991160380"/>
    <x v="3"/>
    <n v="398"/>
    <n v="328"/>
    <n v="70"/>
    <x v="0"/>
    <x v="31"/>
    <x v="1"/>
    <x v="1"/>
    <x v="2"/>
    <x v="5"/>
  </r>
  <r>
    <s v="L2ENUTGO5B"/>
    <n v="648869700"/>
    <n v="6623800330"/>
    <x v="1"/>
    <n v="435"/>
    <n v="435"/>
    <n v="0"/>
    <x v="5"/>
    <x v="13"/>
    <x v="2"/>
    <x v="0"/>
    <x v="0"/>
    <x v="0"/>
  </r>
  <r>
    <s v="HPXPNC70AU"/>
    <n v="8470537100"/>
    <n v="4324603209"/>
    <x v="1"/>
    <n v="163"/>
    <n v="0"/>
    <n v="163"/>
    <x v="9"/>
    <x v="31"/>
    <x v="0"/>
    <x v="1"/>
    <x v="1"/>
    <x v="7"/>
  </r>
  <r>
    <s v="UWYNJXDO8V"/>
    <n v="1119891441"/>
    <n v="8812199103"/>
    <x v="2"/>
    <n v="453"/>
    <n v="0"/>
    <n v="453"/>
    <x v="8"/>
    <x v="48"/>
    <x v="2"/>
    <x v="2"/>
    <x v="1"/>
    <x v="2"/>
  </r>
  <r>
    <s v="GFHQX72JNU"/>
    <n v="4773078033"/>
    <n v="9924142686"/>
    <x v="1"/>
    <n v="107"/>
    <n v="107"/>
    <n v="0"/>
    <x v="3"/>
    <x v="0"/>
    <x v="2"/>
    <x v="1"/>
    <x v="0"/>
    <x v="8"/>
  </r>
  <r>
    <s v="LAN2241BE2"/>
    <n v="9047868298"/>
    <n v="7806014030"/>
    <x v="3"/>
    <n v="472"/>
    <n v="333"/>
    <n v="139"/>
    <x v="7"/>
    <x v="54"/>
    <x v="0"/>
    <x v="2"/>
    <x v="2"/>
    <x v="3"/>
  </r>
  <r>
    <s v="0H47YAG0MY"/>
    <n v="2932398420"/>
    <n v="2293229694"/>
    <x v="2"/>
    <n v="155"/>
    <n v="155"/>
    <n v="0"/>
    <x v="5"/>
    <x v="84"/>
    <x v="0"/>
    <x v="2"/>
    <x v="0"/>
    <x v="1"/>
  </r>
  <r>
    <s v="XUQ2FGB74Q"/>
    <n v="8945326160"/>
    <n v="4140137127"/>
    <x v="3"/>
    <n v="237"/>
    <n v="0"/>
    <n v="237"/>
    <x v="5"/>
    <x v="25"/>
    <x v="1"/>
    <x v="1"/>
    <x v="1"/>
    <x v="6"/>
  </r>
  <r>
    <s v="VN32TA88KS"/>
    <n v="5321622483"/>
    <n v="9404091979"/>
    <x v="1"/>
    <n v="103"/>
    <n v="0"/>
    <n v="103"/>
    <x v="2"/>
    <x v="83"/>
    <x v="2"/>
    <x v="1"/>
    <x v="1"/>
    <x v="4"/>
  </r>
  <r>
    <s v="4SA4IIPARK"/>
    <n v="1358198320"/>
    <n v="3003148546"/>
    <x v="3"/>
    <n v="256"/>
    <n v="192"/>
    <n v="64"/>
    <x v="6"/>
    <x v="57"/>
    <x v="2"/>
    <x v="2"/>
    <x v="2"/>
    <x v="3"/>
  </r>
  <r>
    <s v="8H6FAKD1OH"/>
    <n v="1109442085"/>
    <n v="5127757508"/>
    <x v="2"/>
    <n v="244"/>
    <n v="244"/>
    <n v="0"/>
    <x v="2"/>
    <x v="69"/>
    <x v="2"/>
    <x v="1"/>
    <x v="0"/>
    <x v="1"/>
  </r>
  <r>
    <s v="N6F3POFGQ3"/>
    <n v="8540963745"/>
    <n v="7521507763"/>
    <x v="3"/>
    <n v="272"/>
    <n v="176"/>
    <n v="96"/>
    <x v="1"/>
    <x v="75"/>
    <x v="1"/>
    <x v="2"/>
    <x v="2"/>
    <x v="5"/>
  </r>
  <r>
    <s v="2UH8ILFP75"/>
    <n v="3975177649"/>
    <n v="2618036215"/>
    <x v="2"/>
    <n v="363"/>
    <n v="363"/>
    <n v="0"/>
    <x v="1"/>
    <x v="11"/>
    <x v="0"/>
    <x v="0"/>
    <x v="0"/>
    <x v="0"/>
  </r>
  <r>
    <s v="QNOX3H2NWY"/>
    <n v="4411310137"/>
    <n v="9519889489"/>
    <x v="0"/>
    <n v="459"/>
    <n v="319"/>
    <n v="140"/>
    <x v="3"/>
    <x v="1"/>
    <x v="1"/>
    <x v="1"/>
    <x v="2"/>
    <x v="3"/>
  </r>
  <r>
    <s v="RH0CA7UMA5"/>
    <n v="7316706692"/>
    <n v="6402426562"/>
    <x v="1"/>
    <n v="151"/>
    <n v="151"/>
    <n v="0"/>
    <x v="8"/>
    <x v="1"/>
    <x v="1"/>
    <x v="2"/>
    <x v="0"/>
    <x v="4"/>
  </r>
  <r>
    <s v="OG6QYF8WN0"/>
    <n v="5053818950"/>
    <n v="9838023124"/>
    <x v="0"/>
    <n v="239"/>
    <n v="239"/>
    <n v="0"/>
    <x v="3"/>
    <x v="65"/>
    <x v="1"/>
    <x v="0"/>
    <x v="0"/>
    <x v="0"/>
  </r>
  <r>
    <s v="FY4ARNIAR0"/>
    <n v="611872923"/>
    <n v="8090101999"/>
    <x v="1"/>
    <n v="336"/>
    <n v="336"/>
    <n v="0"/>
    <x v="3"/>
    <x v="24"/>
    <x v="0"/>
    <x v="2"/>
    <x v="0"/>
    <x v="5"/>
  </r>
  <r>
    <s v="BWYHFOFN0K"/>
    <n v="4208309782"/>
    <n v="9299849039"/>
    <x v="3"/>
    <n v="198"/>
    <n v="198"/>
    <n v="0"/>
    <x v="6"/>
    <x v="88"/>
    <x v="1"/>
    <x v="0"/>
    <x v="0"/>
    <x v="0"/>
  </r>
  <r>
    <s v="G81CW7DUDU"/>
    <n v="5669034387"/>
    <n v="5176525204"/>
    <x v="2"/>
    <n v="192"/>
    <n v="140"/>
    <n v="52"/>
    <x v="8"/>
    <x v="27"/>
    <x v="1"/>
    <x v="1"/>
    <x v="2"/>
    <x v="8"/>
  </r>
  <r>
    <s v="OQZ5GVP2W3"/>
    <n v="2097151222"/>
    <n v="9951071448"/>
    <x v="4"/>
    <n v="494"/>
    <n v="494"/>
    <n v="0"/>
    <x v="3"/>
    <x v="64"/>
    <x v="2"/>
    <x v="1"/>
    <x v="0"/>
    <x v="4"/>
  </r>
  <r>
    <s v="2SGU0UOZN5"/>
    <n v="540646353"/>
    <n v="7121601568"/>
    <x v="1"/>
    <n v="142"/>
    <n v="0"/>
    <n v="142"/>
    <x v="7"/>
    <x v="11"/>
    <x v="0"/>
    <x v="2"/>
    <x v="1"/>
    <x v="2"/>
  </r>
  <r>
    <s v="F2E9ST7Z1O"/>
    <n v="33414211"/>
    <n v="2964099336"/>
    <x v="3"/>
    <n v="276"/>
    <n v="276"/>
    <n v="0"/>
    <x v="4"/>
    <x v="22"/>
    <x v="0"/>
    <x v="1"/>
    <x v="0"/>
    <x v="2"/>
  </r>
  <r>
    <s v="EYOS09JPEW"/>
    <n v="3050607331"/>
    <n v="6787726636"/>
    <x v="4"/>
    <n v="193"/>
    <n v="146"/>
    <n v="47"/>
    <x v="1"/>
    <x v="6"/>
    <x v="2"/>
    <x v="2"/>
    <x v="2"/>
    <x v="8"/>
  </r>
  <r>
    <s v="WWX6WBPW0J"/>
    <n v="5605938725"/>
    <n v="3739961537"/>
    <x v="0"/>
    <n v="321"/>
    <n v="0"/>
    <n v="321"/>
    <x v="4"/>
    <x v="65"/>
    <x v="0"/>
    <x v="2"/>
    <x v="1"/>
    <x v="8"/>
  </r>
  <r>
    <s v="Z90Y40KDPV"/>
    <n v="1216065934"/>
    <n v="3285396823"/>
    <x v="0"/>
    <n v="388"/>
    <n v="388"/>
    <n v="0"/>
    <x v="8"/>
    <x v="54"/>
    <x v="1"/>
    <x v="0"/>
    <x v="0"/>
    <x v="0"/>
  </r>
  <r>
    <s v="BRAEVGQEU7"/>
    <n v="4964277787"/>
    <n v="6441000562"/>
    <x v="0"/>
    <n v="127"/>
    <n v="0"/>
    <n v="127"/>
    <x v="5"/>
    <x v="66"/>
    <x v="0"/>
    <x v="1"/>
    <x v="1"/>
    <x v="7"/>
  </r>
  <r>
    <s v="GAAC6UT7P6"/>
    <n v="477240076"/>
    <n v="2963442104"/>
    <x v="2"/>
    <n v="248"/>
    <n v="248"/>
    <n v="0"/>
    <x v="8"/>
    <x v="48"/>
    <x v="1"/>
    <x v="2"/>
    <x v="0"/>
    <x v="1"/>
  </r>
  <r>
    <s v="PBAFT6EYLJ"/>
    <n v="4053169361"/>
    <n v="3931389346"/>
    <x v="1"/>
    <n v="261"/>
    <n v="162"/>
    <n v="99"/>
    <x v="0"/>
    <x v="93"/>
    <x v="2"/>
    <x v="1"/>
    <x v="2"/>
    <x v="8"/>
  </r>
  <r>
    <s v="THD8NIN8TY"/>
    <n v="1341398511"/>
    <n v="3148120372"/>
    <x v="0"/>
    <n v="122"/>
    <n v="122"/>
    <n v="0"/>
    <x v="1"/>
    <x v="37"/>
    <x v="1"/>
    <x v="0"/>
    <x v="0"/>
    <x v="0"/>
  </r>
  <r>
    <s v="WXBN0W53RM"/>
    <n v="3451475619"/>
    <n v="4699664259"/>
    <x v="3"/>
    <n v="390"/>
    <n v="390"/>
    <n v="0"/>
    <x v="6"/>
    <x v="84"/>
    <x v="2"/>
    <x v="0"/>
    <x v="0"/>
    <x v="0"/>
  </r>
  <r>
    <s v="5PH5HE0L8N"/>
    <n v="2141428058"/>
    <n v="649481965"/>
    <x v="3"/>
    <n v="446"/>
    <n v="0"/>
    <n v="446"/>
    <x v="5"/>
    <x v="16"/>
    <x v="2"/>
    <x v="2"/>
    <x v="1"/>
    <x v="2"/>
  </r>
  <r>
    <s v="IKQ5AY8IP1"/>
    <n v="1357123055"/>
    <n v="9274997838"/>
    <x v="3"/>
    <n v="234"/>
    <n v="234"/>
    <n v="0"/>
    <x v="8"/>
    <x v="14"/>
    <x v="1"/>
    <x v="2"/>
    <x v="0"/>
    <x v="4"/>
  </r>
  <r>
    <s v="9HBSSJQZDY"/>
    <n v="5041172082"/>
    <n v="3869882829"/>
    <x v="4"/>
    <n v="147"/>
    <n v="147"/>
    <n v="0"/>
    <x v="5"/>
    <x v="94"/>
    <x v="1"/>
    <x v="0"/>
    <x v="0"/>
    <x v="0"/>
  </r>
  <r>
    <s v="TAPW4HOKKM"/>
    <n v="2289773378"/>
    <n v="9177899966"/>
    <x v="3"/>
    <n v="423"/>
    <n v="423"/>
    <n v="0"/>
    <x v="2"/>
    <x v="42"/>
    <x v="2"/>
    <x v="1"/>
    <x v="0"/>
    <x v="5"/>
  </r>
  <r>
    <s v="K7J1X0HONB"/>
    <n v="7503786621"/>
    <n v="5258386479"/>
    <x v="2"/>
    <n v="129"/>
    <n v="129"/>
    <n v="0"/>
    <x v="6"/>
    <x v="91"/>
    <x v="2"/>
    <x v="1"/>
    <x v="0"/>
    <x v="8"/>
  </r>
  <r>
    <s v="KZX6FP6J9O"/>
    <n v="9984515919"/>
    <n v="4829525502"/>
    <x v="1"/>
    <n v="328"/>
    <n v="328"/>
    <n v="0"/>
    <x v="7"/>
    <x v="64"/>
    <x v="0"/>
    <x v="0"/>
    <x v="0"/>
    <x v="0"/>
  </r>
  <r>
    <s v="YZAGYKYRB2"/>
    <n v="8642249236"/>
    <n v="44728314"/>
    <x v="2"/>
    <n v="313"/>
    <n v="197"/>
    <n v="116"/>
    <x v="9"/>
    <x v="43"/>
    <x v="2"/>
    <x v="1"/>
    <x v="2"/>
    <x v="1"/>
  </r>
  <r>
    <s v="2WHWNIY1TM"/>
    <n v="80027935"/>
    <n v="3875197604"/>
    <x v="1"/>
    <n v="389"/>
    <n v="0"/>
    <n v="389"/>
    <x v="6"/>
    <x v="1"/>
    <x v="2"/>
    <x v="1"/>
    <x v="1"/>
    <x v="1"/>
  </r>
  <r>
    <s v="586EP1QAYC"/>
    <n v="5979481379"/>
    <n v="8184148716"/>
    <x v="1"/>
    <n v="217"/>
    <n v="217"/>
    <n v="0"/>
    <x v="0"/>
    <x v="39"/>
    <x v="2"/>
    <x v="0"/>
    <x v="0"/>
    <x v="0"/>
  </r>
  <r>
    <s v="OF7UX4XGSW"/>
    <n v="6059884343"/>
    <n v="6115114048"/>
    <x v="1"/>
    <n v="112"/>
    <n v="112"/>
    <n v="0"/>
    <x v="4"/>
    <x v="95"/>
    <x v="0"/>
    <x v="0"/>
    <x v="0"/>
    <x v="0"/>
  </r>
  <r>
    <s v="9Y20UR7643"/>
    <n v="5081779992"/>
    <n v="3646255868"/>
    <x v="1"/>
    <n v="499"/>
    <n v="499"/>
    <n v="0"/>
    <x v="1"/>
    <x v="85"/>
    <x v="1"/>
    <x v="0"/>
    <x v="0"/>
    <x v="0"/>
  </r>
  <r>
    <s v="7MG5FQREVH"/>
    <n v="4109179552"/>
    <n v="1759798705"/>
    <x v="3"/>
    <n v="466"/>
    <n v="335"/>
    <n v="131"/>
    <x v="5"/>
    <x v="37"/>
    <x v="2"/>
    <x v="1"/>
    <x v="2"/>
    <x v="6"/>
  </r>
  <r>
    <s v="M99CP63NEC"/>
    <n v="9633320114"/>
    <n v="1262446957"/>
    <x v="1"/>
    <n v="427"/>
    <n v="427"/>
    <n v="0"/>
    <x v="7"/>
    <x v="32"/>
    <x v="1"/>
    <x v="2"/>
    <x v="0"/>
    <x v="5"/>
  </r>
  <r>
    <s v="3C75WW2CAV"/>
    <n v="3400328270"/>
    <n v="4513696161"/>
    <x v="0"/>
    <n v="221"/>
    <n v="221"/>
    <n v="0"/>
    <x v="8"/>
    <x v="67"/>
    <x v="2"/>
    <x v="0"/>
    <x v="0"/>
    <x v="0"/>
  </r>
  <r>
    <s v="MWH0ES7NQW"/>
    <n v="8231751172"/>
    <n v="9491630699"/>
    <x v="0"/>
    <n v="183"/>
    <n v="183"/>
    <n v="0"/>
    <x v="7"/>
    <x v="45"/>
    <x v="1"/>
    <x v="1"/>
    <x v="0"/>
    <x v="2"/>
  </r>
  <r>
    <s v="7PN5XKSAPC"/>
    <n v="2517603074"/>
    <n v="6649887248"/>
    <x v="2"/>
    <n v="432"/>
    <n v="0"/>
    <n v="432"/>
    <x v="6"/>
    <x v="10"/>
    <x v="1"/>
    <x v="1"/>
    <x v="1"/>
    <x v="8"/>
  </r>
  <r>
    <s v="U4IFB14TLJ"/>
    <n v="1177525801"/>
    <n v="1413064849"/>
    <x v="0"/>
    <n v="389"/>
    <n v="389"/>
    <n v="0"/>
    <x v="3"/>
    <x v="26"/>
    <x v="0"/>
    <x v="0"/>
    <x v="0"/>
    <x v="0"/>
  </r>
  <r>
    <s v="ZCAL98SER3"/>
    <n v="5275079933"/>
    <n v="9125823440"/>
    <x v="2"/>
    <n v="471"/>
    <n v="0"/>
    <n v="471"/>
    <x v="2"/>
    <x v="26"/>
    <x v="0"/>
    <x v="1"/>
    <x v="1"/>
    <x v="7"/>
  </r>
  <r>
    <s v="3W1ZGOCWBR"/>
    <n v="1000791828"/>
    <n v="4647551760"/>
    <x v="2"/>
    <n v="215"/>
    <n v="215"/>
    <n v="0"/>
    <x v="6"/>
    <x v="18"/>
    <x v="0"/>
    <x v="0"/>
    <x v="0"/>
    <x v="0"/>
  </r>
  <r>
    <s v="WF4YVYAFG4"/>
    <n v="9313170292"/>
    <n v="7021396669"/>
    <x v="2"/>
    <n v="104"/>
    <n v="0"/>
    <n v="104"/>
    <x v="5"/>
    <x v="46"/>
    <x v="1"/>
    <x v="1"/>
    <x v="1"/>
    <x v="2"/>
  </r>
  <r>
    <s v="T4IK0M3OTB"/>
    <n v="6457966423"/>
    <n v="5496281415"/>
    <x v="2"/>
    <n v="487"/>
    <n v="487"/>
    <n v="0"/>
    <x v="6"/>
    <x v="17"/>
    <x v="1"/>
    <x v="0"/>
    <x v="0"/>
    <x v="0"/>
  </r>
  <r>
    <s v="8MSN086HUZ"/>
    <n v="9857312878"/>
    <n v="3579493244"/>
    <x v="3"/>
    <n v="433"/>
    <n v="433"/>
    <n v="0"/>
    <x v="3"/>
    <x v="39"/>
    <x v="0"/>
    <x v="1"/>
    <x v="0"/>
    <x v="6"/>
  </r>
  <r>
    <s v="M64MV5E6F4"/>
    <n v="1543048755"/>
    <n v="86980668"/>
    <x v="0"/>
    <n v="430"/>
    <n v="430"/>
    <n v="0"/>
    <x v="1"/>
    <x v="73"/>
    <x v="1"/>
    <x v="1"/>
    <x v="0"/>
    <x v="1"/>
  </r>
  <r>
    <s v="4U3PWYYT8N"/>
    <n v="3839767585"/>
    <n v="5251136819"/>
    <x v="1"/>
    <n v="278"/>
    <n v="278"/>
    <n v="0"/>
    <x v="5"/>
    <x v="16"/>
    <x v="0"/>
    <x v="0"/>
    <x v="0"/>
    <x v="0"/>
  </r>
  <r>
    <s v="QIGS8Q9MEP"/>
    <n v="9101127396"/>
    <n v="9806417639"/>
    <x v="1"/>
    <n v="246"/>
    <n v="246"/>
    <n v="0"/>
    <x v="1"/>
    <x v="96"/>
    <x v="0"/>
    <x v="0"/>
    <x v="0"/>
    <x v="0"/>
  </r>
  <r>
    <s v="QIUN6AO9ZU"/>
    <n v="4939816976"/>
    <n v="1913580617"/>
    <x v="1"/>
    <n v="108"/>
    <n v="108"/>
    <n v="0"/>
    <x v="4"/>
    <x v="72"/>
    <x v="1"/>
    <x v="0"/>
    <x v="0"/>
    <x v="0"/>
  </r>
  <r>
    <s v="F63YLTVPE1"/>
    <n v="8227606723"/>
    <n v="3356750817"/>
    <x v="3"/>
    <n v="422"/>
    <n v="0"/>
    <n v="422"/>
    <x v="0"/>
    <x v="85"/>
    <x v="0"/>
    <x v="2"/>
    <x v="1"/>
    <x v="4"/>
  </r>
  <r>
    <s v="D8WZASCOKT"/>
    <n v="6219754963"/>
    <n v="9125093388"/>
    <x v="1"/>
    <n v="139"/>
    <n v="139"/>
    <n v="0"/>
    <x v="7"/>
    <x v="72"/>
    <x v="0"/>
    <x v="0"/>
    <x v="0"/>
    <x v="0"/>
  </r>
  <r>
    <s v="ITE8467J13"/>
    <n v="422783582"/>
    <n v="950595876"/>
    <x v="4"/>
    <n v="224"/>
    <n v="224"/>
    <n v="0"/>
    <x v="3"/>
    <x v="48"/>
    <x v="2"/>
    <x v="0"/>
    <x v="0"/>
    <x v="0"/>
  </r>
  <r>
    <s v="XA9XX1CF8K"/>
    <n v="5114736504"/>
    <n v="9947707227"/>
    <x v="1"/>
    <n v="121"/>
    <n v="80"/>
    <n v="41"/>
    <x v="2"/>
    <x v="23"/>
    <x v="2"/>
    <x v="1"/>
    <x v="2"/>
    <x v="7"/>
  </r>
  <r>
    <s v="RGD4XQNGNK"/>
    <n v="1364793503"/>
    <n v="5493435452"/>
    <x v="2"/>
    <n v="160"/>
    <n v="124"/>
    <n v="36"/>
    <x v="0"/>
    <x v="41"/>
    <x v="2"/>
    <x v="1"/>
    <x v="2"/>
    <x v="1"/>
  </r>
  <r>
    <s v="QYJZ30BVLC"/>
    <n v="5433826796"/>
    <n v="6391556886"/>
    <x v="2"/>
    <n v="328"/>
    <n v="328"/>
    <n v="0"/>
    <x v="9"/>
    <x v="13"/>
    <x v="0"/>
    <x v="2"/>
    <x v="0"/>
    <x v="1"/>
  </r>
  <r>
    <s v="NCHSYXWG77"/>
    <n v="173366658"/>
    <n v="129742605"/>
    <x v="3"/>
    <n v="324"/>
    <n v="324"/>
    <n v="0"/>
    <x v="4"/>
    <x v="22"/>
    <x v="1"/>
    <x v="1"/>
    <x v="0"/>
    <x v="5"/>
  </r>
  <r>
    <s v="QQ0KL6T24I"/>
    <n v="3028915125"/>
    <n v="8372279271"/>
    <x v="3"/>
    <n v="105"/>
    <n v="105"/>
    <n v="0"/>
    <x v="6"/>
    <x v="83"/>
    <x v="0"/>
    <x v="2"/>
    <x v="0"/>
    <x v="2"/>
  </r>
  <r>
    <s v="LLJ4PW1V8J"/>
    <n v="1397662884"/>
    <n v="2150019938"/>
    <x v="0"/>
    <n v="381"/>
    <n v="381"/>
    <n v="0"/>
    <x v="1"/>
    <x v="59"/>
    <x v="0"/>
    <x v="2"/>
    <x v="0"/>
    <x v="3"/>
  </r>
  <r>
    <s v="7EHCM0SDGU"/>
    <n v="4991942669"/>
    <n v="7985224401"/>
    <x v="3"/>
    <n v="389"/>
    <n v="389"/>
    <n v="0"/>
    <x v="1"/>
    <x v="7"/>
    <x v="2"/>
    <x v="2"/>
    <x v="0"/>
    <x v="5"/>
  </r>
  <r>
    <s v="EYZXJO99RP"/>
    <n v="4352673439"/>
    <n v="7929503314"/>
    <x v="3"/>
    <n v="116"/>
    <n v="116"/>
    <n v="0"/>
    <x v="9"/>
    <x v="55"/>
    <x v="0"/>
    <x v="0"/>
    <x v="0"/>
    <x v="0"/>
  </r>
  <r>
    <s v="03YCRLVYCF"/>
    <n v="5294210836"/>
    <n v="2966803804"/>
    <x v="2"/>
    <n v="285"/>
    <n v="285"/>
    <n v="0"/>
    <x v="5"/>
    <x v="67"/>
    <x v="1"/>
    <x v="2"/>
    <x v="0"/>
    <x v="8"/>
  </r>
  <r>
    <s v="G7FB0U1BD4"/>
    <n v="1568063851"/>
    <n v="8078768351"/>
    <x v="0"/>
    <n v="119"/>
    <n v="119"/>
    <n v="0"/>
    <x v="1"/>
    <x v="52"/>
    <x v="2"/>
    <x v="0"/>
    <x v="0"/>
    <x v="0"/>
  </r>
  <r>
    <s v="9S5QARLS2V"/>
    <n v="2962998721"/>
    <n v="7531354213"/>
    <x v="4"/>
    <n v="499"/>
    <n v="0"/>
    <n v="499"/>
    <x v="0"/>
    <x v="96"/>
    <x v="0"/>
    <x v="1"/>
    <x v="1"/>
    <x v="8"/>
  </r>
  <r>
    <s v="JEBQKNOYID"/>
    <n v="7180728894"/>
    <n v="3179271995"/>
    <x v="1"/>
    <n v="184"/>
    <n v="184"/>
    <n v="0"/>
    <x v="5"/>
    <x v="31"/>
    <x v="0"/>
    <x v="0"/>
    <x v="0"/>
    <x v="0"/>
  </r>
  <r>
    <s v="2Y0VVPVIMZ"/>
    <n v="9466012917"/>
    <n v="6958399478"/>
    <x v="1"/>
    <n v="142"/>
    <n v="142"/>
    <n v="0"/>
    <x v="4"/>
    <x v="20"/>
    <x v="1"/>
    <x v="1"/>
    <x v="0"/>
    <x v="8"/>
  </r>
  <r>
    <s v="MQAS4JKSHX"/>
    <n v="5742042440"/>
    <n v="2298317369"/>
    <x v="2"/>
    <n v="472"/>
    <n v="264"/>
    <n v="208"/>
    <x v="5"/>
    <x v="82"/>
    <x v="2"/>
    <x v="1"/>
    <x v="2"/>
    <x v="1"/>
  </r>
  <r>
    <s v="ZOB7UB1PR9"/>
    <n v="4268514705"/>
    <n v="3611486014"/>
    <x v="4"/>
    <n v="380"/>
    <n v="380"/>
    <n v="0"/>
    <x v="3"/>
    <x v="3"/>
    <x v="1"/>
    <x v="1"/>
    <x v="0"/>
    <x v="4"/>
  </r>
  <r>
    <s v="3JFJQ88OY1"/>
    <n v="8367487496"/>
    <n v="6709616698"/>
    <x v="3"/>
    <n v="380"/>
    <n v="380"/>
    <n v="0"/>
    <x v="0"/>
    <x v="65"/>
    <x v="1"/>
    <x v="0"/>
    <x v="0"/>
    <x v="0"/>
  </r>
  <r>
    <s v="99ZMC11M60"/>
    <n v="6629273545"/>
    <n v="4086009168"/>
    <x v="0"/>
    <n v="163"/>
    <n v="163"/>
    <n v="0"/>
    <x v="7"/>
    <x v="15"/>
    <x v="1"/>
    <x v="1"/>
    <x v="0"/>
    <x v="8"/>
  </r>
  <r>
    <s v="AAT5XZDTJW"/>
    <n v="9019802849"/>
    <n v="8854510199"/>
    <x v="1"/>
    <n v="316"/>
    <n v="0"/>
    <n v="316"/>
    <x v="8"/>
    <x v="69"/>
    <x v="1"/>
    <x v="1"/>
    <x v="1"/>
    <x v="7"/>
  </r>
  <r>
    <s v="3Q307029M3"/>
    <n v="1530590884"/>
    <n v="2960642947"/>
    <x v="2"/>
    <n v="400"/>
    <n v="0"/>
    <n v="400"/>
    <x v="3"/>
    <x v="70"/>
    <x v="1"/>
    <x v="1"/>
    <x v="1"/>
    <x v="7"/>
  </r>
  <r>
    <s v="ZCWD5JEPEH"/>
    <n v="2613598620"/>
    <n v="9958249801"/>
    <x v="4"/>
    <n v="410"/>
    <n v="410"/>
    <n v="0"/>
    <x v="2"/>
    <x v="67"/>
    <x v="1"/>
    <x v="2"/>
    <x v="0"/>
    <x v="6"/>
  </r>
  <r>
    <s v="8XK4VQ1I4J"/>
    <n v="7010381732"/>
    <n v="7056840684"/>
    <x v="1"/>
    <n v="350"/>
    <n v="350"/>
    <n v="0"/>
    <x v="8"/>
    <x v="75"/>
    <x v="2"/>
    <x v="0"/>
    <x v="0"/>
    <x v="0"/>
  </r>
  <r>
    <s v="PFDS57UU33"/>
    <n v="2802257045"/>
    <n v="4481400194"/>
    <x v="2"/>
    <n v="131"/>
    <n v="131"/>
    <n v="0"/>
    <x v="3"/>
    <x v="21"/>
    <x v="0"/>
    <x v="0"/>
    <x v="0"/>
    <x v="0"/>
  </r>
  <r>
    <s v="8YYM83RH9Y"/>
    <n v="4100457593"/>
    <n v="2187680072"/>
    <x v="1"/>
    <n v="101"/>
    <n v="0"/>
    <n v="101"/>
    <x v="7"/>
    <x v="39"/>
    <x v="1"/>
    <x v="1"/>
    <x v="1"/>
    <x v="4"/>
  </r>
  <r>
    <s v="IS2Q9232TB"/>
    <n v="9828261974"/>
    <n v="1101477666"/>
    <x v="0"/>
    <n v="449"/>
    <n v="449"/>
    <n v="0"/>
    <x v="6"/>
    <x v="17"/>
    <x v="2"/>
    <x v="0"/>
    <x v="0"/>
    <x v="0"/>
  </r>
  <r>
    <s v="2DJN1MSV2X"/>
    <n v="6926559300"/>
    <n v="5944859899"/>
    <x v="2"/>
    <n v="492"/>
    <n v="492"/>
    <n v="0"/>
    <x v="3"/>
    <x v="1"/>
    <x v="2"/>
    <x v="0"/>
    <x v="0"/>
    <x v="0"/>
  </r>
  <r>
    <s v="21J06GW5M0"/>
    <n v="8318086127"/>
    <n v="5501402679"/>
    <x v="1"/>
    <n v="275"/>
    <n v="275"/>
    <n v="0"/>
    <x v="4"/>
    <x v="16"/>
    <x v="0"/>
    <x v="1"/>
    <x v="0"/>
    <x v="7"/>
  </r>
  <r>
    <s v="FLKDNITK1C"/>
    <n v="3629070060"/>
    <n v="3036731483"/>
    <x v="2"/>
    <n v="330"/>
    <n v="242"/>
    <n v="88"/>
    <x v="5"/>
    <x v="93"/>
    <x v="1"/>
    <x v="1"/>
    <x v="2"/>
    <x v="4"/>
  </r>
  <r>
    <s v="CG2WFA54Q0"/>
    <n v="5966584161"/>
    <n v="6832999180"/>
    <x v="4"/>
    <n v="117"/>
    <n v="117"/>
    <n v="0"/>
    <x v="2"/>
    <x v="91"/>
    <x v="2"/>
    <x v="1"/>
    <x v="0"/>
    <x v="1"/>
  </r>
  <r>
    <s v="IXC1HAAKNF"/>
    <n v="5528482343"/>
    <n v="4559607867"/>
    <x v="1"/>
    <n v="196"/>
    <n v="196"/>
    <n v="0"/>
    <x v="6"/>
    <x v="17"/>
    <x v="0"/>
    <x v="2"/>
    <x v="0"/>
    <x v="4"/>
  </r>
  <r>
    <s v="PU8KUGCRHP"/>
    <n v="6931363034"/>
    <n v="8547658278"/>
    <x v="2"/>
    <n v="307"/>
    <n v="307"/>
    <n v="0"/>
    <x v="9"/>
    <x v="10"/>
    <x v="2"/>
    <x v="1"/>
    <x v="0"/>
    <x v="1"/>
  </r>
  <r>
    <s v="C7O7E2BT7E"/>
    <n v="8522090959"/>
    <n v="7315199086"/>
    <x v="1"/>
    <n v="496"/>
    <n v="496"/>
    <n v="0"/>
    <x v="6"/>
    <x v="73"/>
    <x v="2"/>
    <x v="0"/>
    <x v="0"/>
    <x v="0"/>
  </r>
  <r>
    <s v="9SWG5H3QW9"/>
    <n v="2240357183"/>
    <n v="2957962640"/>
    <x v="2"/>
    <n v="232"/>
    <n v="232"/>
    <n v="0"/>
    <x v="6"/>
    <x v="32"/>
    <x v="2"/>
    <x v="0"/>
    <x v="0"/>
    <x v="0"/>
  </r>
  <r>
    <s v="KR2U0NMU00"/>
    <n v="738777314"/>
    <n v="76371852"/>
    <x v="1"/>
    <n v="307"/>
    <n v="307"/>
    <n v="0"/>
    <x v="8"/>
    <x v="65"/>
    <x v="1"/>
    <x v="2"/>
    <x v="0"/>
    <x v="3"/>
  </r>
  <r>
    <s v="0MBZW073GU"/>
    <n v="1311702037"/>
    <n v="1928688949"/>
    <x v="4"/>
    <n v="151"/>
    <n v="110"/>
    <n v="41"/>
    <x v="5"/>
    <x v="39"/>
    <x v="2"/>
    <x v="1"/>
    <x v="2"/>
    <x v="6"/>
  </r>
  <r>
    <s v="7H1OW65LTP"/>
    <n v="3632149990"/>
    <n v="5627607005"/>
    <x v="3"/>
    <n v="377"/>
    <n v="377"/>
    <n v="0"/>
    <x v="6"/>
    <x v="55"/>
    <x v="2"/>
    <x v="0"/>
    <x v="0"/>
    <x v="0"/>
  </r>
  <r>
    <s v="S0JYIMQIN5"/>
    <n v="2310865330"/>
    <n v="8394713204"/>
    <x v="1"/>
    <n v="445"/>
    <n v="445"/>
    <n v="0"/>
    <x v="6"/>
    <x v="29"/>
    <x v="2"/>
    <x v="2"/>
    <x v="0"/>
    <x v="6"/>
  </r>
  <r>
    <s v="W64LMPWOKH"/>
    <n v="2289749987"/>
    <n v="2399273177"/>
    <x v="2"/>
    <n v="283"/>
    <n v="0"/>
    <n v="283"/>
    <x v="5"/>
    <x v="58"/>
    <x v="2"/>
    <x v="2"/>
    <x v="1"/>
    <x v="4"/>
  </r>
  <r>
    <s v="6C19YE4II2"/>
    <n v="5200827930"/>
    <n v="4587251076"/>
    <x v="1"/>
    <n v="259"/>
    <n v="0"/>
    <n v="259"/>
    <x v="5"/>
    <x v="42"/>
    <x v="1"/>
    <x v="2"/>
    <x v="1"/>
    <x v="3"/>
  </r>
  <r>
    <s v="SP6RHRWTIU"/>
    <n v="1380625484"/>
    <n v="1029254695"/>
    <x v="0"/>
    <n v="254"/>
    <n v="254"/>
    <n v="0"/>
    <x v="0"/>
    <x v="34"/>
    <x v="1"/>
    <x v="0"/>
    <x v="0"/>
    <x v="0"/>
  </r>
  <r>
    <s v="XFEHKBPSXT"/>
    <n v="6956102357"/>
    <n v="2565531730"/>
    <x v="2"/>
    <n v="356"/>
    <n v="356"/>
    <n v="0"/>
    <x v="1"/>
    <x v="26"/>
    <x v="1"/>
    <x v="0"/>
    <x v="0"/>
    <x v="0"/>
  </r>
  <r>
    <s v="DH8YOGGD5Z"/>
    <n v="7043034800"/>
    <n v="7471264489"/>
    <x v="1"/>
    <n v="360"/>
    <n v="360"/>
    <n v="0"/>
    <x v="8"/>
    <x v="62"/>
    <x v="0"/>
    <x v="0"/>
    <x v="0"/>
    <x v="0"/>
  </r>
  <r>
    <s v="323X466L0H"/>
    <n v="722965698"/>
    <n v="2141889695"/>
    <x v="0"/>
    <n v="417"/>
    <n v="417"/>
    <n v="0"/>
    <x v="6"/>
    <x v="26"/>
    <x v="1"/>
    <x v="0"/>
    <x v="0"/>
    <x v="0"/>
  </r>
  <r>
    <s v="OG3UU8P74N"/>
    <n v="6127741973"/>
    <n v="7749908811"/>
    <x v="2"/>
    <n v="273"/>
    <n v="273"/>
    <n v="0"/>
    <x v="1"/>
    <x v="73"/>
    <x v="2"/>
    <x v="0"/>
    <x v="0"/>
    <x v="0"/>
  </r>
  <r>
    <s v="EHNT0RI9PA"/>
    <n v="1340620656"/>
    <n v="728294651"/>
    <x v="2"/>
    <n v="241"/>
    <n v="0"/>
    <n v="241"/>
    <x v="6"/>
    <x v="55"/>
    <x v="0"/>
    <x v="1"/>
    <x v="1"/>
    <x v="2"/>
  </r>
  <r>
    <s v="DRGKQNK954"/>
    <n v="8283813605"/>
    <n v="7718410955"/>
    <x v="2"/>
    <n v="103"/>
    <n v="0"/>
    <n v="103"/>
    <x v="3"/>
    <x v="43"/>
    <x v="0"/>
    <x v="2"/>
    <x v="1"/>
    <x v="3"/>
  </r>
  <r>
    <s v="L3X436BQ81"/>
    <n v="4730614932"/>
    <n v="3292649561"/>
    <x v="3"/>
    <n v="155"/>
    <n v="0"/>
    <n v="155"/>
    <x v="8"/>
    <x v="74"/>
    <x v="0"/>
    <x v="2"/>
    <x v="1"/>
    <x v="6"/>
  </r>
  <r>
    <s v="X3KCXIZP92"/>
    <n v="7449106585"/>
    <n v="835861604"/>
    <x v="0"/>
    <n v="246"/>
    <n v="246"/>
    <n v="0"/>
    <x v="9"/>
    <x v="79"/>
    <x v="1"/>
    <x v="0"/>
    <x v="0"/>
    <x v="0"/>
  </r>
  <r>
    <s v="418K56U6HI"/>
    <n v="6060567002"/>
    <n v="4180307806"/>
    <x v="3"/>
    <n v="158"/>
    <n v="0"/>
    <n v="158"/>
    <x v="3"/>
    <x v="19"/>
    <x v="0"/>
    <x v="1"/>
    <x v="1"/>
    <x v="6"/>
  </r>
  <r>
    <s v="21BXPWDAX1"/>
    <n v="4434252398"/>
    <n v="2601209246"/>
    <x v="4"/>
    <n v="132"/>
    <n v="81"/>
    <n v="51"/>
    <x v="9"/>
    <x v="55"/>
    <x v="0"/>
    <x v="2"/>
    <x v="2"/>
    <x v="2"/>
  </r>
  <r>
    <s v="YKLXY8LT34"/>
    <n v="8436192763"/>
    <n v="5742962214"/>
    <x v="0"/>
    <n v="316"/>
    <n v="316"/>
    <n v="0"/>
    <x v="5"/>
    <x v="97"/>
    <x v="0"/>
    <x v="0"/>
    <x v="0"/>
    <x v="0"/>
  </r>
  <r>
    <s v="JTPTG3QK9K"/>
    <n v="4855644681"/>
    <n v="568405850"/>
    <x v="4"/>
    <n v="187"/>
    <n v="187"/>
    <n v="0"/>
    <x v="1"/>
    <x v="26"/>
    <x v="1"/>
    <x v="0"/>
    <x v="0"/>
    <x v="0"/>
  </r>
  <r>
    <s v="V5FAM54GJ0"/>
    <n v="3460872464"/>
    <n v="7633222282"/>
    <x v="0"/>
    <n v="231"/>
    <n v="231"/>
    <n v="0"/>
    <x v="3"/>
    <x v="48"/>
    <x v="1"/>
    <x v="0"/>
    <x v="0"/>
    <x v="0"/>
  </r>
  <r>
    <s v="GZ6JDKF2N9"/>
    <n v="5764893122"/>
    <n v="1763635349"/>
    <x v="4"/>
    <n v="135"/>
    <n v="72"/>
    <n v="63"/>
    <x v="1"/>
    <x v="26"/>
    <x v="1"/>
    <x v="1"/>
    <x v="2"/>
    <x v="4"/>
  </r>
  <r>
    <s v="CLT90VMN8P"/>
    <n v="6079651870"/>
    <n v="5818045824"/>
    <x v="4"/>
    <n v="316"/>
    <n v="316"/>
    <n v="0"/>
    <x v="5"/>
    <x v="9"/>
    <x v="0"/>
    <x v="0"/>
    <x v="0"/>
    <x v="0"/>
  </r>
  <r>
    <s v="67DSRVOOK1"/>
    <n v="5697674548"/>
    <n v="2407426934"/>
    <x v="3"/>
    <n v="149"/>
    <n v="0"/>
    <n v="149"/>
    <x v="5"/>
    <x v="79"/>
    <x v="1"/>
    <x v="1"/>
    <x v="1"/>
    <x v="1"/>
  </r>
  <r>
    <s v="3K5D8SBI2R"/>
    <n v="2001375545"/>
    <n v="3151701172"/>
    <x v="4"/>
    <n v="249"/>
    <n v="249"/>
    <n v="0"/>
    <x v="7"/>
    <x v="24"/>
    <x v="2"/>
    <x v="0"/>
    <x v="0"/>
    <x v="0"/>
  </r>
  <r>
    <s v="T6XLU2KNIU"/>
    <n v="3090183086"/>
    <n v="5350029457"/>
    <x v="4"/>
    <n v="442"/>
    <n v="0"/>
    <n v="442"/>
    <x v="4"/>
    <x v="58"/>
    <x v="0"/>
    <x v="2"/>
    <x v="1"/>
    <x v="8"/>
  </r>
  <r>
    <s v="BUFUPQ243Y"/>
    <n v="782054899"/>
    <n v="2478322950"/>
    <x v="2"/>
    <n v="408"/>
    <n v="408"/>
    <n v="0"/>
    <x v="7"/>
    <x v="5"/>
    <x v="1"/>
    <x v="0"/>
    <x v="0"/>
    <x v="0"/>
  </r>
  <r>
    <s v="3KT2BBMZSW"/>
    <n v="8840408187"/>
    <n v="3157655621"/>
    <x v="2"/>
    <n v="386"/>
    <n v="0"/>
    <n v="386"/>
    <x v="2"/>
    <x v="67"/>
    <x v="2"/>
    <x v="1"/>
    <x v="1"/>
    <x v="1"/>
  </r>
  <r>
    <s v="CZNVC6FGMJ"/>
    <n v="9046284381"/>
    <n v="534484178"/>
    <x v="2"/>
    <n v="163"/>
    <n v="0"/>
    <n v="163"/>
    <x v="3"/>
    <x v="49"/>
    <x v="0"/>
    <x v="2"/>
    <x v="1"/>
    <x v="2"/>
  </r>
  <r>
    <s v="726DJMTT0D"/>
    <n v="2776651760"/>
    <n v="9025513192"/>
    <x v="0"/>
    <n v="186"/>
    <n v="0"/>
    <n v="186"/>
    <x v="0"/>
    <x v="57"/>
    <x v="0"/>
    <x v="1"/>
    <x v="1"/>
    <x v="4"/>
  </r>
  <r>
    <s v="YC2I7G9H9T"/>
    <n v="4572940200"/>
    <n v="2901780424"/>
    <x v="0"/>
    <n v="182"/>
    <n v="182"/>
    <n v="0"/>
    <x v="6"/>
    <x v="92"/>
    <x v="1"/>
    <x v="0"/>
    <x v="0"/>
    <x v="0"/>
  </r>
  <r>
    <s v="O5Z5W0ZO3S"/>
    <n v="421037848"/>
    <n v="5625571929"/>
    <x v="1"/>
    <n v="494"/>
    <n v="494"/>
    <n v="0"/>
    <x v="8"/>
    <x v="32"/>
    <x v="1"/>
    <x v="0"/>
    <x v="0"/>
    <x v="0"/>
  </r>
  <r>
    <s v="AUNCU3I1PP"/>
    <n v="7456221047"/>
    <n v="7979694445"/>
    <x v="1"/>
    <n v="369"/>
    <n v="369"/>
    <n v="0"/>
    <x v="2"/>
    <x v="79"/>
    <x v="0"/>
    <x v="2"/>
    <x v="0"/>
    <x v="2"/>
  </r>
  <r>
    <s v="D197HVAPRY"/>
    <n v="9486691259"/>
    <n v="8213319359"/>
    <x v="2"/>
    <n v="480"/>
    <n v="0"/>
    <n v="480"/>
    <x v="8"/>
    <x v="19"/>
    <x v="2"/>
    <x v="1"/>
    <x v="1"/>
    <x v="3"/>
  </r>
  <r>
    <s v="NPM4DTYPZB"/>
    <n v="7929279518"/>
    <n v="8327104802"/>
    <x v="0"/>
    <n v="462"/>
    <n v="0"/>
    <n v="462"/>
    <x v="2"/>
    <x v="13"/>
    <x v="1"/>
    <x v="1"/>
    <x v="1"/>
    <x v="8"/>
  </r>
  <r>
    <s v="26UZK6TQQ2"/>
    <n v="1700147911"/>
    <n v="5561575318"/>
    <x v="1"/>
    <n v="494"/>
    <n v="423"/>
    <n v="71"/>
    <x v="4"/>
    <x v="9"/>
    <x v="2"/>
    <x v="1"/>
    <x v="2"/>
    <x v="2"/>
  </r>
  <r>
    <s v="HPYV0IGQ6H"/>
    <n v="4846311291"/>
    <n v="4286472793"/>
    <x v="3"/>
    <n v="435"/>
    <n v="435"/>
    <n v="0"/>
    <x v="7"/>
    <x v="15"/>
    <x v="0"/>
    <x v="0"/>
    <x v="0"/>
    <x v="0"/>
  </r>
  <r>
    <s v="B8LBI001RL"/>
    <n v="8015513971"/>
    <n v="6826409995"/>
    <x v="2"/>
    <n v="471"/>
    <n v="471"/>
    <n v="0"/>
    <x v="2"/>
    <x v="84"/>
    <x v="1"/>
    <x v="1"/>
    <x v="0"/>
    <x v="2"/>
  </r>
  <r>
    <s v="YL6OWAB28W"/>
    <n v="2737167116"/>
    <n v="115695487"/>
    <x v="3"/>
    <n v="197"/>
    <n v="0"/>
    <n v="197"/>
    <x v="7"/>
    <x v="46"/>
    <x v="2"/>
    <x v="2"/>
    <x v="1"/>
    <x v="5"/>
  </r>
  <r>
    <s v="KLSLGX0W6H"/>
    <n v="900909046"/>
    <n v="1898190273"/>
    <x v="3"/>
    <n v="429"/>
    <n v="429"/>
    <n v="0"/>
    <x v="3"/>
    <x v="24"/>
    <x v="2"/>
    <x v="1"/>
    <x v="0"/>
    <x v="2"/>
  </r>
  <r>
    <s v="Q1WTI6ESSG"/>
    <n v="5054894467"/>
    <n v="6819368866"/>
    <x v="0"/>
    <n v="471"/>
    <n v="326"/>
    <n v="145"/>
    <x v="5"/>
    <x v="29"/>
    <x v="2"/>
    <x v="1"/>
    <x v="2"/>
    <x v="5"/>
  </r>
  <r>
    <s v="P7QVG9MP32"/>
    <n v="561071554"/>
    <n v="7617204467"/>
    <x v="4"/>
    <n v="443"/>
    <n v="290"/>
    <n v="153"/>
    <x v="3"/>
    <x v="65"/>
    <x v="0"/>
    <x v="2"/>
    <x v="2"/>
    <x v="7"/>
  </r>
  <r>
    <s v="8TPPVEO7NV"/>
    <n v="502081268"/>
    <n v="6436699574"/>
    <x v="3"/>
    <n v="493"/>
    <n v="493"/>
    <n v="0"/>
    <x v="6"/>
    <x v="21"/>
    <x v="1"/>
    <x v="0"/>
    <x v="0"/>
    <x v="0"/>
  </r>
  <r>
    <s v="HQYRI270HY"/>
    <n v="8172075253"/>
    <n v="7580524370"/>
    <x v="0"/>
    <n v="368"/>
    <n v="0"/>
    <n v="368"/>
    <x v="3"/>
    <x v="51"/>
    <x v="0"/>
    <x v="1"/>
    <x v="1"/>
    <x v="3"/>
  </r>
  <r>
    <s v="FKTZG0CNQO"/>
    <n v="5629941385"/>
    <n v="3025164227"/>
    <x v="3"/>
    <n v="326"/>
    <n v="326"/>
    <n v="0"/>
    <x v="6"/>
    <x v="54"/>
    <x v="1"/>
    <x v="0"/>
    <x v="0"/>
    <x v="0"/>
  </r>
  <r>
    <s v="Y1WH3V1TPF"/>
    <n v="2995444435"/>
    <n v="3549654697"/>
    <x v="1"/>
    <n v="207"/>
    <n v="0"/>
    <n v="207"/>
    <x v="5"/>
    <x v="18"/>
    <x v="1"/>
    <x v="2"/>
    <x v="1"/>
    <x v="4"/>
  </r>
  <r>
    <s v="7L4J9HMQXQ"/>
    <n v="6278506546"/>
    <n v="5705971438"/>
    <x v="3"/>
    <n v="396"/>
    <n v="396"/>
    <n v="0"/>
    <x v="6"/>
    <x v="8"/>
    <x v="1"/>
    <x v="0"/>
    <x v="0"/>
    <x v="0"/>
  </r>
  <r>
    <s v="QID1IWIUBX"/>
    <n v="249680647"/>
    <n v="3489632150"/>
    <x v="2"/>
    <n v="119"/>
    <n v="119"/>
    <n v="0"/>
    <x v="8"/>
    <x v="96"/>
    <x v="0"/>
    <x v="0"/>
    <x v="0"/>
    <x v="0"/>
  </r>
  <r>
    <s v="8U442JG6ZZ"/>
    <n v="2823816539"/>
    <n v="9126114282"/>
    <x v="0"/>
    <n v="482"/>
    <n v="482"/>
    <n v="0"/>
    <x v="7"/>
    <x v="28"/>
    <x v="2"/>
    <x v="0"/>
    <x v="0"/>
    <x v="0"/>
  </r>
  <r>
    <s v="U79659CUA1"/>
    <n v="8914853699"/>
    <n v="3191106842"/>
    <x v="1"/>
    <n v="355"/>
    <n v="355"/>
    <n v="0"/>
    <x v="8"/>
    <x v="26"/>
    <x v="2"/>
    <x v="1"/>
    <x v="0"/>
    <x v="7"/>
  </r>
  <r>
    <s v="OVL10LO2Q7"/>
    <n v="2925593047"/>
    <n v="2123404033"/>
    <x v="4"/>
    <n v="116"/>
    <n v="116"/>
    <n v="0"/>
    <x v="2"/>
    <x v="94"/>
    <x v="2"/>
    <x v="0"/>
    <x v="0"/>
    <x v="0"/>
  </r>
  <r>
    <s v="V4UC8NOS7Y"/>
    <n v="3289635734"/>
    <n v="6288939661"/>
    <x v="3"/>
    <n v="391"/>
    <n v="262"/>
    <n v="129"/>
    <x v="3"/>
    <x v="10"/>
    <x v="2"/>
    <x v="1"/>
    <x v="2"/>
    <x v="1"/>
  </r>
  <r>
    <s v="6O9HDAP1PX"/>
    <n v="3325326098"/>
    <n v="994049002"/>
    <x v="0"/>
    <n v="459"/>
    <n v="459"/>
    <n v="0"/>
    <x v="9"/>
    <x v="30"/>
    <x v="2"/>
    <x v="1"/>
    <x v="0"/>
    <x v="6"/>
  </r>
  <r>
    <s v="K3SDSZZS3G"/>
    <n v="8004223765"/>
    <n v="4383992454"/>
    <x v="1"/>
    <n v="470"/>
    <n v="470"/>
    <n v="0"/>
    <x v="0"/>
    <x v="59"/>
    <x v="2"/>
    <x v="1"/>
    <x v="0"/>
    <x v="4"/>
  </r>
  <r>
    <s v="4Q7CUR00E1"/>
    <n v="7974497902"/>
    <n v="8954065677"/>
    <x v="4"/>
    <n v="123"/>
    <n v="123"/>
    <n v="0"/>
    <x v="6"/>
    <x v="38"/>
    <x v="2"/>
    <x v="2"/>
    <x v="0"/>
    <x v="3"/>
  </r>
  <r>
    <s v="UMMFYEKL2L"/>
    <n v="7662969656"/>
    <n v="7889892835"/>
    <x v="3"/>
    <n v="307"/>
    <n v="307"/>
    <n v="0"/>
    <x v="7"/>
    <x v="35"/>
    <x v="0"/>
    <x v="0"/>
    <x v="0"/>
    <x v="0"/>
  </r>
  <r>
    <s v="IJTA1OJ7O1"/>
    <n v="8612329678"/>
    <n v="4207894962"/>
    <x v="0"/>
    <n v="264"/>
    <n v="198"/>
    <n v="66"/>
    <x v="8"/>
    <x v="16"/>
    <x v="0"/>
    <x v="2"/>
    <x v="2"/>
    <x v="8"/>
  </r>
  <r>
    <s v="WSAXXHQ1T1"/>
    <n v="7330837661"/>
    <n v="9448341013"/>
    <x v="4"/>
    <n v="307"/>
    <n v="174"/>
    <n v="133"/>
    <x v="6"/>
    <x v="14"/>
    <x v="1"/>
    <x v="1"/>
    <x v="2"/>
    <x v="2"/>
  </r>
  <r>
    <s v="X3SK7L93LM"/>
    <n v="1928620624"/>
    <n v="7830009734"/>
    <x v="3"/>
    <n v="154"/>
    <n v="121"/>
    <n v="33"/>
    <x v="0"/>
    <x v="96"/>
    <x v="2"/>
    <x v="2"/>
    <x v="2"/>
    <x v="4"/>
  </r>
  <r>
    <s v="5MMRWAIYXD"/>
    <n v="2506904960"/>
    <n v="5007142488"/>
    <x v="2"/>
    <n v="400"/>
    <n v="400"/>
    <n v="0"/>
    <x v="7"/>
    <x v="5"/>
    <x v="2"/>
    <x v="0"/>
    <x v="0"/>
    <x v="0"/>
  </r>
  <r>
    <s v="D83NCPMVTK"/>
    <n v="5306270138"/>
    <n v="7198947816"/>
    <x v="0"/>
    <n v="224"/>
    <n v="224"/>
    <n v="0"/>
    <x v="1"/>
    <x v="54"/>
    <x v="0"/>
    <x v="0"/>
    <x v="0"/>
    <x v="0"/>
  </r>
  <r>
    <s v="E9IEIYB8WZ"/>
    <n v="6257670398"/>
    <n v="3709507276"/>
    <x v="0"/>
    <n v="371"/>
    <n v="371"/>
    <n v="0"/>
    <x v="3"/>
    <x v="98"/>
    <x v="2"/>
    <x v="0"/>
    <x v="0"/>
    <x v="0"/>
  </r>
  <r>
    <s v="06NQMSR38I"/>
    <n v="6535583832"/>
    <n v="8374574966"/>
    <x v="0"/>
    <n v="120"/>
    <n v="120"/>
    <n v="0"/>
    <x v="6"/>
    <x v="85"/>
    <x v="2"/>
    <x v="0"/>
    <x v="0"/>
    <x v="0"/>
  </r>
  <r>
    <s v="626B66H97K"/>
    <n v="3185929308"/>
    <n v="8541497946"/>
    <x v="0"/>
    <n v="184"/>
    <n v="184"/>
    <n v="0"/>
    <x v="2"/>
    <x v="18"/>
    <x v="0"/>
    <x v="1"/>
    <x v="0"/>
    <x v="8"/>
  </r>
  <r>
    <s v="129JSAM402"/>
    <n v="3408573075"/>
    <n v="5948517708"/>
    <x v="3"/>
    <n v="405"/>
    <n v="405"/>
    <n v="0"/>
    <x v="9"/>
    <x v="6"/>
    <x v="0"/>
    <x v="0"/>
    <x v="0"/>
    <x v="0"/>
  </r>
  <r>
    <s v="Y7PLNK4HHX"/>
    <n v="6555966188"/>
    <n v="5908563382"/>
    <x v="2"/>
    <n v="291"/>
    <n v="291"/>
    <n v="0"/>
    <x v="7"/>
    <x v="89"/>
    <x v="2"/>
    <x v="0"/>
    <x v="0"/>
    <x v="0"/>
  </r>
  <r>
    <s v="KE1122CFDF"/>
    <n v="8628491259"/>
    <n v="2724634866"/>
    <x v="4"/>
    <n v="362"/>
    <n v="0"/>
    <n v="362"/>
    <x v="3"/>
    <x v="92"/>
    <x v="2"/>
    <x v="1"/>
    <x v="1"/>
    <x v="4"/>
  </r>
  <r>
    <s v="OYAQX3178P"/>
    <n v="873141871"/>
    <n v="9133253322"/>
    <x v="1"/>
    <n v="104"/>
    <n v="84"/>
    <n v="20"/>
    <x v="0"/>
    <x v="90"/>
    <x v="0"/>
    <x v="2"/>
    <x v="2"/>
    <x v="4"/>
  </r>
  <r>
    <s v="XY6SDTZAKM"/>
    <n v="5830535227"/>
    <n v="3690623221"/>
    <x v="1"/>
    <n v="191"/>
    <n v="191"/>
    <n v="0"/>
    <x v="9"/>
    <x v="95"/>
    <x v="0"/>
    <x v="1"/>
    <x v="0"/>
    <x v="7"/>
  </r>
  <r>
    <s v="RJC3BBE1LD"/>
    <n v="1880874731"/>
    <n v="7753006069"/>
    <x v="4"/>
    <n v="274"/>
    <n v="274"/>
    <n v="0"/>
    <x v="6"/>
    <x v="47"/>
    <x v="1"/>
    <x v="2"/>
    <x v="0"/>
    <x v="4"/>
  </r>
  <r>
    <s v="S1SUBLMW4D"/>
    <n v="9685974415"/>
    <n v="3445672900"/>
    <x v="4"/>
    <n v="151"/>
    <n v="151"/>
    <n v="0"/>
    <x v="0"/>
    <x v="6"/>
    <x v="2"/>
    <x v="2"/>
    <x v="0"/>
    <x v="5"/>
  </r>
  <r>
    <s v="CWIC0X7EWK"/>
    <n v="8693588722"/>
    <n v="2482986908"/>
    <x v="3"/>
    <n v="174"/>
    <n v="174"/>
    <n v="0"/>
    <x v="5"/>
    <x v="75"/>
    <x v="0"/>
    <x v="2"/>
    <x v="0"/>
    <x v="2"/>
  </r>
  <r>
    <s v="V6H96YJ3Q0"/>
    <n v="6441140176"/>
    <n v="527465320"/>
    <x v="4"/>
    <n v="105"/>
    <n v="0"/>
    <n v="105"/>
    <x v="5"/>
    <x v="93"/>
    <x v="0"/>
    <x v="1"/>
    <x v="1"/>
    <x v="2"/>
  </r>
  <r>
    <s v="CXV519RIB1"/>
    <n v="3748398668"/>
    <n v="417518310"/>
    <x v="0"/>
    <n v="493"/>
    <n v="493"/>
    <n v="0"/>
    <x v="0"/>
    <x v="60"/>
    <x v="0"/>
    <x v="0"/>
    <x v="0"/>
    <x v="0"/>
  </r>
  <r>
    <s v="KCQ31K04ES"/>
    <n v="4386831928"/>
    <n v="15540456"/>
    <x v="4"/>
    <n v="298"/>
    <n v="298"/>
    <n v="0"/>
    <x v="7"/>
    <x v="27"/>
    <x v="2"/>
    <x v="0"/>
    <x v="0"/>
    <x v="0"/>
  </r>
  <r>
    <s v="ICXJAGX280"/>
    <n v="3438241742"/>
    <n v="5613605690"/>
    <x v="0"/>
    <n v="424"/>
    <n v="0"/>
    <n v="424"/>
    <x v="4"/>
    <x v="69"/>
    <x v="2"/>
    <x v="2"/>
    <x v="1"/>
    <x v="8"/>
  </r>
  <r>
    <s v="GZ7AQBA9ML"/>
    <n v="1092051342"/>
    <n v="190298505"/>
    <x v="2"/>
    <n v="121"/>
    <n v="121"/>
    <n v="0"/>
    <x v="9"/>
    <x v="6"/>
    <x v="0"/>
    <x v="2"/>
    <x v="0"/>
    <x v="3"/>
  </r>
  <r>
    <s v="LC166BD465"/>
    <n v="4641711313"/>
    <n v="1857910463"/>
    <x v="0"/>
    <n v="165"/>
    <n v="165"/>
    <n v="0"/>
    <x v="3"/>
    <x v="93"/>
    <x v="1"/>
    <x v="2"/>
    <x v="0"/>
    <x v="3"/>
  </r>
  <r>
    <s v="HID85OO7VR"/>
    <n v="2227575907"/>
    <n v="3110430334"/>
    <x v="0"/>
    <n v="237"/>
    <n v="237"/>
    <n v="0"/>
    <x v="4"/>
    <x v="99"/>
    <x v="2"/>
    <x v="2"/>
    <x v="0"/>
    <x v="5"/>
  </r>
  <r>
    <s v="HWMP3FP29R"/>
    <n v="2363625454"/>
    <n v="2756457356"/>
    <x v="2"/>
    <n v="357"/>
    <n v="215"/>
    <n v="142"/>
    <x v="9"/>
    <x v="60"/>
    <x v="2"/>
    <x v="1"/>
    <x v="2"/>
    <x v="2"/>
  </r>
  <r>
    <s v="BD6JMPH1IZ"/>
    <n v="7621560419"/>
    <n v="283562478"/>
    <x v="1"/>
    <n v="312"/>
    <n v="223"/>
    <n v="89"/>
    <x v="6"/>
    <x v="26"/>
    <x v="0"/>
    <x v="2"/>
    <x v="2"/>
    <x v="2"/>
  </r>
  <r>
    <s v="0RTE3LY6B3"/>
    <n v="371140982"/>
    <n v="3812698250"/>
    <x v="4"/>
    <n v="193"/>
    <n v="193"/>
    <n v="0"/>
    <x v="4"/>
    <x v="62"/>
    <x v="1"/>
    <x v="1"/>
    <x v="0"/>
    <x v="3"/>
  </r>
  <r>
    <s v="WP1RN1V310"/>
    <n v="2282786646"/>
    <n v="892102986"/>
    <x v="2"/>
    <n v="438"/>
    <n v="438"/>
    <n v="0"/>
    <x v="9"/>
    <x v="15"/>
    <x v="0"/>
    <x v="1"/>
    <x v="0"/>
    <x v="6"/>
  </r>
  <r>
    <s v="YNO4WMLIIG"/>
    <n v="440570556"/>
    <n v="4500481435"/>
    <x v="0"/>
    <n v="212"/>
    <n v="0"/>
    <n v="212"/>
    <x v="4"/>
    <x v="19"/>
    <x v="1"/>
    <x v="1"/>
    <x v="1"/>
    <x v="3"/>
  </r>
  <r>
    <s v="O5AUGSKC9P"/>
    <n v="8956729310"/>
    <n v="2026001261"/>
    <x v="3"/>
    <n v="314"/>
    <n v="314"/>
    <n v="0"/>
    <x v="1"/>
    <x v="29"/>
    <x v="1"/>
    <x v="0"/>
    <x v="0"/>
    <x v="0"/>
  </r>
  <r>
    <s v="HWT8UWJWYZ"/>
    <n v="1541479927"/>
    <n v="2059927708"/>
    <x v="0"/>
    <n v="407"/>
    <n v="407"/>
    <n v="0"/>
    <x v="3"/>
    <x v="47"/>
    <x v="0"/>
    <x v="0"/>
    <x v="0"/>
    <x v="0"/>
  </r>
  <r>
    <s v="3FYJ0NHSYH"/>
    <n v="4031482272"/>
    <n v="6838754017"/>
    <x v="0"/>
    <n v="496"/>
    <n v="402"/>
    <n v="94"/>
    <x v="9"/>
    <x v="9"/>
    <x v="2"/>
    <x v="2"/>
    <x v="2"/>
    <x v="4"/>
  </r>
  <r>
    <s v="Q1RPRTJTB9"/>
    <n v="2380747740"/>
    <n v="2943869904"/>
    <x v="0"/>
    <n v="389"/>
    <n v="389"/>
    <n v="0"/>
    <x v="1"/>
    <x v="52"/>
    <x v="2"/>
    <x v="0"/>
    <x v="0"/>
    <x v="0"/>
  </r>
  <r>
    <s v="0UL3SODFH8"/>
    <n v="5970964660"/>
    <n v="8781592521"/>
    <x v="3"/>
    <n v="416"/>
    <n v="0"/>
    <n v="416"/>
    <x v="5"/>
    <x v="71"/>
    <x v="0"/>
    <x v="2"/>
    <x v="1"/>
    <x v="4"/>
  </r>
  <r>
    <s v="KCBHXUH8WG"/>
    <n v="1223197762"/>
    <n v="7485165315"/>
    <x v="2"/>
    <n v="457"/>
    <n v="457"/>
    <n v="0"/>
    <x v="1"/>
    <x v="84"/>
    <x v="0"/>
    <x v="2"/>
    <x v="0"/>
    <x v="3"/>
  </r>
  <r>
    <s v="ZJ1B6MZOYC"/>
    <n v="2101472532"/>
    <n v="568029226"/>
    <x v="1"/>
    <n v="344"/>
    <n v="0"/>
    <n v="344"/>
    <x v="2"/>
    <x v="6"/>
    <x v="0"/>
    <x v="1"/>
    <x v="1"/>
    <x v="7"/>
  </r>
  <r>
    <s v="2QAVFOJ9GZ"/>
    <n v="7357410289"/>
    <n v="5465259486"/>
    <x v="1"/>
    <n v="106"/>
    <n v="0"/>
    <n v="106"/>
    <x v="1"/>
    <x v="23"/>
    <x v="2"/>
    <x v="1"/>
    <x v="1"/>
    <x v="1"/>
  </r>
  <r>
    <s v="O38AXSYK7I"/>
    <n v="7903690830"/>
    <n v="1990470696"/>
    <x v="3"/>
    <n v="211"/>
    <n v="211"/>
    <n v="0"/>
    <x v="8"/>
    <x v="75"/>
    <x v="2"/>
    <x v="0"/>
    <x v="0"/>
    <x v="0"/>
  </r>
  <r>
    <s v="U41UCCEZ58"/>
    <n v="3865843017"/>
    <n v="9539233165"/>
    <x v="2"/>
    <n v="203"/>
    <n v="203"/>
    <n v="0"/>
    <x v="7"/>
    <x v="99"/>
    <x v="0"/>
    <x v="0"/>
    <x v="0"/>
    <x v="0"/>
  </r>
  <r>
    <s v="6X04TJQP95"/>
    <n v="2580747102"/>
    <n v="6998428852"/>
    <x v="3"/>
    <n v="233"/>
    <n v="163"/>
    <n v="70"/>
    <x v="4"/>
    <x v="12"/>
    <x v="0"/>
    <x v="1"/>
    <x v="2"/>
    <x v="1"/>
  </r>
  <r>
    <s v="BYNOC8UUQ5"/>
    <n v="8399454678"/>
    <n v="9877119289"/>
    <x v="4"/>
    <n v="409"/>
    <n v="409"/>
    <n v="0"/>
    <x v="9"/>
    <x v="54"/>
    <x v="1"/>
    <x v="0"/>
    <x v="0"/>
    <x v="0"/>
  </r>
  <r>
    <s v="7B86UJ5JVR"/>
    <n v="3503207313"/>
    <n v="7834420809"/>
    <x v="3"/>
    <n v="465"/>
    <n v="0"/>
    <n v="465"/>
    <x v="0"/>
    <x v="87"/>
    <x v="0"/>
    <x v="2"/>
    <x v="1"/>
    <x v="5"/>
  </r>
  <r>
    <s v="WU3OXBPL3T"/>
    <n v="5161867397"/>
    <n v="2811006176"/>
    <x v="1"/>
    <n v="406"/>
    <n v="0"/>
    <n v="406"/>
    <x v="6"/>
    <x v="62"/>
    <x v="2"/>
    <x v="1"/>
    <x v="1"/>
    <x v="8"/>
  </r>
  <r>
    <s v="THX7WD0F0Q"/>
    <n v="8942646135"/>
    <n v="4077794287"/>
    <x v="4"/>
    <n v="237"/>
    <n v="237"/>
    <n v="0"/>
    <x v="4"/>
    <x v="44"/>
    <x v="2"/>
    <x v="1"/>
    <x v="0"/>
    <x v="2"/>
  </r>
  <r>
    <s v="8NWLLQTWC2"/>
    <n v="8853064848"/>
    <n v="4283750973"/>
    <x v="3"/>
    <n v="388"/>
    <n v="246"/>
    <n v="142"/>
    <x v="0"/>
    <x v="54"/>
    <x v="0"/>
    <x v="2"/>
    <x v="2"/>
    <x v="2"/>
  </r>
  <r>
    <s v="UI07XS1H4P"/>
    <n v="7053474079"/>
    <n v="4086686788"/>
    <x v="0"/>
    <n v="260"/>
    <n v="260"/>
    <n v="0"/>
    <x v="9"/>
    <x v="53"/>
    <x v="1"/>
    <x v="0"/>
    <x v="0"/>
    <x v="0"/>
  </r>
  <r>
    <s v="SKPGISFMVY"/>
    <n v="4487981315"/>
    <n v="8259362877"/>
    <x v="3"/>
    <n v="354"/>
    <n v="0"/>
    <n v="354"/>
    <x v="9"/>
    <x v="67"/>
    <x v="1"/>
    <x v="2"/>
    <x v="1"/>
    <x v="3"/>
  </r>
  <r>
    <s v="QG9PR5YY70"/>
    <n v="4935186078"/>
    <n v="6428719917"/>
    <x v="2"/>
    <n v="132"/>
    <n v="78"/>
    <n v="54"/>
    <x v="3"/>
    <x v="41"/>
    <x v="2"/>
    <x v="1"/>
    <x v="2"/>
    <x v="8"/>
  </r>
  <r>
    <s v="UZ78L25UAC"/>
    <n v="9204268623"/>
    <n v="4982600288"/>
    <x v="2"/>
    <n v="438"/>
    <n v="0"/>
    <n v="438"/>
    <x v="1"/>
    <x v="70"/>
    <x v="1"/>
    <x v="2"/>
    <x v="1"/>
    <x v="3"/>
  </r>
  <r>
    <s v="4KJFCKZUKK"/>
    <n v="8829357430"/>
    <n v="8621007016"/>
    <x v="3"/>
    <n v="432"/>
    <n v="318"/>
    <n v="114"/>
    <x v="9"/>
    <x v="94"/>
    <x v="2"/>
    <x v="2"/>
    <x v="2"/>
    <x v="1"/>
  </r>
  <r>
    <s v="YXUOO51AIG"/>
    <n v="5306316104"/>
    <n v="1495568771"/>
    <x v="0"/>
    <n v="344"/>
    <n v="0"/>
    <n v="344"/>
    <x v="1"/>
    <x v="5"/>
    <x v="2"/>
    <x v="2"/>
    <x v="1"/>
    <x v="8"/>
  </r>
  <r>
    <s v="D9VMOS4S9C"/>
    <n v="2990425033"/>
    <n v="8413480749"/>
    <x v="0"/>
    <n v="206"/>
    <n v="0"/>
    <n v="206"/>
    <x v="3"/>
    <x v="71"/>
    <x v="2"/>
    <x v="1"/>
    <x v="1"/>
    <x v="6"/>
  </r>
  <r>
    <s v="XCUD7INM1T"/>
    <n v="691789899"/>
    <n v="2508422282"/>
    <x v="3"/>
    <n v="216"/>
    <n v="216"/>
    <n v="0"/>
    <x v="0"/>
    <x v="59"/>
    <x v="0"/>
    <x v="0"/>
    <x v="0"/>
    <x v="0"/>
  </r>
  <r>
    <s v="IC6SLI7AGC"/>
    <n v="4359470938"/>
    <n v="1045974580"/>
    <x v="2"/>
    <n v="377"/>
    <n v="377"/>
    <n v="0"/>
    <x v="8"/>
    <x v="7"/>
    <x v="2"/>
    <x v="0"/>
    <x v="0"/>
    <x v="0"/>
  </r>
  <r>
    <s v="U6MLFNT6IC"/>
    <n v="8969596515"/>
    <n v="7877349395"/>
    <x v="1"/>
    <n v="441"/>
    <n v="441"/>
    <n v="0"/>
    <x v="8"/>
    <x v="57"/>
    <x v="0"/>
    <x v="0"/>
    <x v="0"/>
    <x v="0"/>
  </r>
  <r>
    <s v="0DMY7OM9V3"/>
    <n v="2292006926"/>
    <n v="6533883551"/>
    <x v="2"/>
    <n v="212"/>
    <n v="212"/>
    <n v="0"/>
    <x v="8"/>
    <x v="76"/>
    <x v="1"/>
    <x v="0"/>
    <x v="0"/>
    <x v="0"/>
  </r>
  <r>
    <s v="AN3SO8970O"/>
    <n v="2245195950"/>
    <n v="6683667937"/>
    <x v="2"/>
    <n v="309"/>
    <n v="309"/>
    <n v="0"/>
    <x v="2"/>
    <x v="13"/>
    <x v="1"/>
    <x v="0"/>
    <x v="0"/>
    <x v="0"/>
  </r>
  <r>
    <s v="6K77QKWDYO"/>
    <n v="6684688437"/>
    <n v="106059983"/>
    <x v="0"/>
    <n v="250"/>
    <n v="176"/>
    <n v="74"/>
    <x v="7"/>
    <x v="29"/>
    <x v="2"/>
    <x v="2"/>
    <x v="2"/>
    <x v="4"/>
  </r>
  <r>
    <s v="438A5MOVD0"/>
    <n v="3213127164"/>
    <n v="2413406518"/>
    <x v="0"/>
    <n v="223"/>
    <n v="223"/>
    <n v="0"/>
    <x v="9"/>
    <x v="48"/>
    <x v="2"/>
    <x v="0"/>
    <x v="0"/>
    <x v="0"/>
  </r>
  <r>
    <s v="SGA3V0TOHF"/>
    <n v="5450025497"/>
    <n v="3657082681"/>
    <x v="3"/>
    <n v="127"/>
    <n v="127"/>
    <n v="0"/>
    <x v="8"/>
    <x v="16"/>
    <x v="1"/>
    <x v="2"/>
    <x v="0"/>
    <x v="1"/>
  </r>
  <r>
    <s v="WJIDX3L5B4"/>
    <n v="5925850831"/>
    <n v="7431704254"/>
    <x v="0"/>
    <n v="273"/>
    <n v="273"/>
    <n v="0"/>
    <x v="1"/>
    <x v="28"/>
    <x v="2"/>
    <x v="0"/>
    <x v="0"/>
    <x v="0"/>
  </r>
  <r>
    <s v="CWBNQIUSYS"/>
    <n v="5030266871"/>
    <n v="7984072910"/>
    <x v="3"/>
    <n v="274"/>
    <n v="274"/>
    <n v="0"/>
    <x v="0"/>
    <x v="34"/>
    <x v="2"/>
    <x v="2"/>
    <x v="0"/>
    <x v="5"/>
  </r>
  <r>
    <s v="209QEFMF73"/>
    <n v="478940437"/>
    <n v="3787433604"/>
    <x v="0"/>
    <n v="177"/>
    <n v="177"/>
    <n v="0"/>
    <x v="8"/>
    <x v="84"/>
    <x v="2"/>
    <x v="1"/>
    <x v="0"/>
    <x v="5"/>
  </r>
  <r>
    <s v="AMJMCUDZD1"/>
    <n v="7613874585"/>
    <n v="3007193490"/>
    <x v="0"/>
    <n v="140"/>
    <n v="0"/>
    <n v="140"/>
    <x v="5"/>
    <x v="54"/>
    <x v="0"/>
    <x v="1"/>
    <x v="1"/>
    <x v="5"/>
  </r>
  <r>
    <s v="A7BIM4W5OI"/>
    <n v="3643791156"/>
    <n v="8483405125"/>
    <x v="2"/>
    <n v="116"/>
    <n v="0"/>
    <n v="116"/>
    <x v="2"/>
    <x v="61"/>
    <x v="1"/>
    <x v="2"/>
    <x v="1"/>
    <x v="2"/>
  </r>
  <r>
    <s v="HSQW0L8I57"/>
    <n v="4283311220"/>
    <n v="4681094459"/>
    <x v="2"/>
    <n v="202"/>
    <n v="202"/>
    <n v="0"/>
    <x v="5"/>
    <x v="51"/>
    <x v="2"/>
    <x v="0"/>
    <x v="0"/>
    <x v="0"/>
  </r>
  <r>
    <s v="PEOSIEND10"/>
    <n v="7957814893"/>
    <n v="7088756199"/>
    <x v="2"/>
    <n v="480"/>
    <n v="480"/>
    <n v="0"/>
    <x v="7"/>
    <x v="2"/>
    <x v="2"/>
    <x v="0"/>
    <x v="0"/>
    <x v="0"/>
  </r>
  <r>
    <s v="95M4I7X5BL"/>
    <n v="2305918821"/>
    <n v="4567672343"/>
    <x v="2"/>
    <n v="377"/>
    <n v="0"/>
    <n v="377"/>
    <x v="6"/>
    <x v="39"/>
    <x v="2"/>
    <x v="1"/>
    <x v="1"/>
    <x v="5"/>
  </r>
  <r>
    <s v="PQPH877IZ8"/>
    <n v="5402310737"/>
    <n v="4625423766"/>
    <x v="0"/>
    <n v="373"/>
    <n v="373"/>
    <n v="0"/>
    <x v="4"/>
    <x v="10"/>
    <x v="2"/>
    <x v="1"/>
    <x v="0"/>
    <x v="2"/>
  </r>
  <r>
    <s v="BBTT5H8V6N"/>
    <n v="5870473510"/>
    <n v="2893564587"/>
    <x v="2"/>
    <n v="238"/>
    <n v="238"/>
    <n v="0"/>
    <x v="5"/>
    <x v="74"/>
    <x v="1"/>
    <x v="2"/>
    <x v="0"/>
    <x v="3"/>
  </r>
  <r>
    <s v="ERWFNE7M6D"/>
    <n v="8241932044"/>
    <n v="7427408093"/>
    <x v="1"/>
    <n v="249"/>
    <n v="139"/>
    <n v="110"/>
    <x v="0"/>
    <x v="2"/>
    <x v="2"/>
    <x v="2"/>
    <x v="2"/>
    <x v="5"/>
  </r>
  <r>
    <s v="ECVNVDR51B"/>
    <n v="2253125702"/>
    <n v="2593301482"/>
    <x v="2"/>
    <n v="105"/>
    <n v="0"/>
    <n v="105"/>
    <x v="4"/>
    <x v="9"/>
    <x v="0"/>
    <x v="1"/>
    <x v="1"/>
    <x v="8"/>
  </r>
  <r>
    <s v="DE31P3T4TS"/>
    <n v="3215989543"/>
    <n v="7894751309"/>
    <x v="1"/>
    <n v="297"/>
    <n v="0"/>
    <n v="297"/>
    <x v="0"/>
    <x v="92"/>
    <x v="2"/>
    <x v="2"/>
    <x v="1"/>
    <x v="7"/>
  </r>
  <r>
    <s v="1ORERG2ELZ"/>
    <n v="3385089876"/>
    <n v="6074309610"/>
    <x v="0"/>
    <n v="146"/>
    <n v="146"/>
    <n v="0"/>
    <x v="3"/>
    <x v="85"/>
    <x v="2"/>
    <x v="0"/>
    <x v="0"/>
    <x v="0"/>
  </r>
  <r>
    <s v="YEP9X5FSQX"/>
    <n v="6471383404"/>
    <n v="898907530"/>
    <x v="0"/>
    <n v="357"/>
    <n v="0"/>
    <n v="357"/>
    <x v="7"/>
    <x v="91"/>
    <x v="1"/>
    <x v="1"/>
    <x v="1"/>
    <x v="3"/>
  </r>
  <r>
    <s v="QOC4NVWPEP"/>
    <n v="232504831"/>
    <n v="2598662218"/>
    <x v="4"/>
    <n v="388"/>
    <n v="388"/>
    <n v="0"/>
    <x v="7"/>
    <x v="35"/>
    <x v="2"/>
    <x v="0"/>
    <x v="0"/>
    <x v="0"/>
  </r>
  <r>
    <s v="1DIBSAA0GS"/>
    <n v="4875662779"/>
    <n v="7948642963"/>
    <x v="4"/>
    <n v="387"/>
    <n v="0"/>
    <n v="387"/>
    <x v="3"/>
    <x v="27"/>
    <x v="1"/>
    <x v="2"/>
    <x v="1"/>
    <x v="4"/>
  </r>
  <r>
    <s v="BBALKOLK23"/>
    <n v="4868390641"/>
    <n v="9225325443"/>
    <x v="0"/>
    <n v="363"/>
    <n v="363"/>
    <n v="0"/>
    <x v="5"/>
    <x v="74"/>
    <x v="1"/>
    <x v="0"/>
    <x v="0"/>
    <x v="0"/>
  </r>
  <r>
    <s v="OQBPO0JDHO"/>
    <n v="32906689"/>
    <n v="4185835837"/>
    <x v="1"/>
    <n v="112"/>
    <n v="0"/>
    <n v="112"/>
    <x v="7"/>
    <x v="46"/>
    <x v="0"/>
    <x v="1"/>
    <x v="1"/>
    <x v="6"/>
  </r>
  <r>
    <s v="JVCZ61N2FM"/>
    <n v="3010371789"/>
    <n v="80661965"/>
    <x v="2"/>
    <n v="337"/>
    <n v="223"/>
    <n v="114"/>
    <x v="2"/>
    <x v="36"/>
    <x v="1"/>
    <x v="1"/>
    <x v="2"/>
    <x v="3"/>
  </r>
  <r>
    <s v="DOFIAEWQW7"/>
    <n v="9785108338"/>
    <n v="8787081290"/>
    <x v="4"/>
    <n v="303"/>
    <n v="0"/>
    <n v="303"/>
    <x v="6"/>
    <x v="17"/>
    <x v="0"/>
    <x v="1"/>
    <x v="1"/>
    <x v="7"/>
  </r>
  <r>
    <s v="92DA4ZTOLN"/>
    <n v="4271969639"/>
    <n v="1278823277"/>
    <x v="1"/>
    <n v="351"/>
    <n v="351"/>
    <n v="0"/>
    <x v="7"/>
    <x v="18"/>
    <x v="0"/>
    <x v="2"/>
    <x v="0"/>
    <x v="2"/>
  </r>
  <r>
    <s v="K5BCGKRQY3"/>
    <n v="1648924613"/>
    <n v="5182010994"/>
    <x v="1"/>
    <n v="378"/>
    <n v="0"/>
    <n v="378"/>
    <x v="9"/>
    <x v="63"/>
    <x v="1"/>
    <x v="2"/>
    <x v="1"/>
    <x v="2"/>
  </r>
  <r>
    <s v="J9H7OYFB45"/>
    <n v="9526664193"/>
    <n v="9060303986"/>
    <x v="0"/>
    <n v="459"/>
    <n v="459"/>
    <n v="0"/>
    <x v="2"/>
    <x v="71"/>
    <x v="0"/>
    <x v="2"/>
    <x v="0"/>
    <x v="5"/>
  </r>
  <r>
    <s v="TS5ZMDJSKZ"/>
    <n v="4489563342"/>
    <n v="8452700426"/>
    <x v="3"/>
    <n v="245"/>
    <n v="0"/>
    <n v="245"/>
    <x v="5"/>
    <x v="42"/>
    <x v="1"/>
    <x v="2"/>
    <x v="1"/>
    <x v="5"/>
  </r>
  <r>
    <s v="J4GB5VWXUS"/>
    <n v="6189693117"/>
    <n v="9753933193"/>
    <x v="0"/>
    <n v="211"/>
    <n v="147"/>
    <n v="64"/>
    <x v="2"/>
    <x v="29"/>
    <x v="0"/>
    <x v="1"/>
    <x v="2"/>
    <x v="8"/>
  </r>
  <r>
    <s v="Q1Q19NHYZM"/>
    <n v="1056041760"/>
    <n v="7104786005"/>
    <x v="4"/>
    <n v="212"/>
    <n v="212"/>
    <n v="0"/>
    <x v="8"/>
    <x v="17"/>
    <x v="0"/>
    <x v="0"/>
    <x v="0"/>
    <x v="0"/>
  </r>
  <r>
    <s v="8TI9Y6QQ53"/>
    <n v="7280392961"/>
    <n v="6640465517"/>
    <x v="0"/>
    <n v="361"/>
    <n v="235"/>
    <n v="126"/>
    <x v="3"/>
    <x v="17"/>
    <x v="2"/>
    <x v="2"/>
    <x v="2"/>
    <x v="8"/>
  </r>
  <r>
    <s v="VJGM6MW2DZ"/>
    <n v="1285149236"/>
    <n v="5434007124"/>
    <x v="2"/>
    <n v="374"/>
    <n v="221"/>
    <n v="153"/>
    <x v="6"/>
    <x v="17"/>
    <x v="2"/>
    <x v="2"/>
    <x v="2"/>
    <x v="4"/>
  </r>
  <r>
    <s v="BVJOITR4RV"/>
    <n v="3731183929"/>
    <n v="6489911759"/>
    <x v="3"/>
    <n v="122"/>
    <n v="0"/>
    <n v="122"/>
    <x v="0"/>
    <x v="60"/>
    <x v="2"/>
    <x v="2"/>
    <x v="1"/>
    <x v="8"/>
  </r>
  <r>
    <s v="XAIGCLSI4Y"/>
    <n v="2683714426"/>
    <n v="4681090255"/>
    <x v="0"/>
    <n v="255"/>
    <n v="255"/>
    <n v="0"/>
    <x v="8"/>
    <x v="67"/>
    <x v="0"/>
    <x v="0"/>
    <x v="0"/>
    <x v="0"/>
  </r>
  <r>
    <s v="4WXTPMT08D"/>
    <n v="8126177635"/>
    <n v="1916196164"/>
    <x v="4"/>
    <n v="158"/>
    <n v="0"/>
    <n v="158"/>
    <x v="1"/>
    <x v="35"/>
    <x v="1"/>
    <x v="1"/>
    <x v="1"/>
    <x v="3"/>
  </r>
  <r>
    <s v="OVKO1LGUEC"/>
    <n v="6639909230"/>
    <n v="8095300235"/>
    <x v="2"/>
    <n v="167"/>
    <n v="167"/>
    <n v="0"/>
    <x v="6"/>
    <x v="32"/>
    <x v="1"/>
    <x v="1"/>
    <x v="0"/>
    <x v="4"/>
  </r>
  <r>
    <s v="BVSZ1EPKDF"/>
    <n v="2120608102"/>
    <n v="6190595635"/>
    <x v="0"/>
    <n v="189"/>
    <n v="111"/>
    <n v="78"/>
    <x v="1"/>
    <x v="28"/>
    <x v="0"/>
    <x v="2"/>
    <x v="2"/>
    <x v="7"/>
  </r>
  <r>
    <s v="QUZRFHJAR8"/>
    <n v="7438503646"/>
    <n v="6992433260"/>
    <x v="4"/>
    <n v="496"/>
    <n v="496"/>
    <n v="0"/>
    <x v="0"/>
    <x v="29"/>
    <x v="2"/>
    <x v="0"/>
    <x v="0"/>
    <x v="0"/>
  </r>
  <r>
    <s v="CYAWZMLXG0"/>
    <n v="368489626"/>
    <n v="1059135169"/>
    <x v="3"/>
    <n v="363"/>
    <n v="0"/>
    <n v="363"/>
    <x v="1"/>
    <x v="90"/>
    <x v="0"/>
    <x v="1"/>
    <x v="1"/>
    <x v="1"/>
  </r>
  <r>
    <s v="4E8URPGWI5"/>
    <n v="5392061436"/>
    <n v="5881013202"/>
    <x v="0"/>
    <n v="493"/>
    <n v="0"/>
    <n v="493"/>
    <x v="3"/>
    <x v="77"/>
    <x v="0"/>
    <x v="2"/>
    <x v="1"/>
    <x v="1"/>
  </r>
  <r>
    <s v="KV3RKW36MO"/>
    <n v="2604892506"/>
    <n v="4446018585"/>
    <x v="1"/>
    <n v="160"/>
    <n v="129"/>
    <n v="31"/>
    <x v="5"/>
    <x v="77"/>
    <x v="0"/>
    <x v="1"/>
    <x v="2"/>
    <x v="1"/>
  </r>
  <r>
    <s v="9O9WTSEDCL"/>
    <n v="9949518087"/>
    <n v="7395493659"/>
    <x v="3"/>
    <n v="174"/>
    <n v="174"/>
    <n v="0"/>
    <x v="0"/>
    <x v="33"/>
    <x v="0"/>
    <x v="1"/>
    <x v="0"/>
    <x v="4"/>
  </r>
  <r>
    <s v="VB81LMR8RI"/>
    <n v="136197495"/>
    <n v="85280543"/>
    <x v="0"/>
    <n v="471"/>
    <n v="471"/>
    <n v="0"/>
    <x v="9"/>
    <x v="47"/>
    <x v="0"/>
    <x v="0"/>
    <x v="0"/>
    <x v="0"/>
  </r>
  <r>
    <s v="RJTSXSP5SM"/>
    <n v="3386389235"/>
    <n v="7991338102"/>
    <x v="0"/>
    <n v="282"/>
    <n v="282"/>
    <n v="0"/>
    <x v="1"/>
    <x v="22"/>
    <x v="0"/>
    <x v="2"/>
    <x v="0"/>
    <x v="6"/>
  </r>
  <r>
    <s v="E15S838EWA"/>
    <n v="6990513328"/>
    <n v="6442407714"/>
    <x v="2"/>
    <n v="229"/>
    <n v="146"/>
    <n v="83"/>
    <x v="5"/>
    <x v="53"/>
    <x v="1"/>
    <x v="1"/>
    <x v="2"/>
    <x v="2"/>
  </r>
  <r>
    <s v="ALIEYHSV55"/>
    <n v="8958518789"/>
    <n v="1059063310"/>
    <x v="0"/>
    <n v="434"/>
    <n v="434"/>
    <n v="0"/>
    <x v="4"/>
    <x v="6"/>
    <x v="1"/>
    <x v="2"/>
    <x v="0"/>
    <x v="7"/>
  </r>
  <r>
    <s v="FL9M8Z4Y1J"/>
    <n v="7825906211"/>
    <n v="6443415737"/>
    <x v="2"/>
    <n v="160"/>
    <n v="130"/>
    <n v="30"/>
    <x v="9"/>
    <x v="88"/>
    <x v="1"/>
    <x v="1"/>
    <x v="2"/>
    <x v="1"/>
  </r>
  <r>
    <s v="PPK3L0R3LR"/>
    <n v="766206471"/>
    <n v="3814907008"/>
    <x v="2"/>
    <n v="403"/>
    <n v="403"/>
    <n v="0"/>
    <x v="9"/>
    <x v="8"/>
    <x v="0"/>
    <x v="0"/>
    <x v="0"/>
    <x v="0"/>
  </r>
  <r>
    <s v="ZM8800YXGY"/>
    <n v="4893864952"/>
    <n v="4634814012"/>
    <x v="3"/>
    <n v="208"/>
    <n v="208"/>
    <n v="0"/>
    <x v="8"/>
    <x v="78"/>
    <x v="1"/>
    <x v="2"/>
    <x v="0"/>
    <x v="8"/>
  </r>
  <r>
    <s v="IZ8BSYN5X4"/>
    <n v="8100330154"/>
    <n v="5564767377"/>
    <x v="1"/>
    <n v="427"/>
    <n v="427"/>
    <n v="0"/>
    <x v="0"/>
    <x v="7"/>
    <x v="1"/>
    <x v="1"/>
    <x v="0"/>
    <x v="8"/>
  </r>
  <r>
    <s v="ZQ640SEO54"/>
    <n v="1981579604"/>
    <n v="6738912846"/>
    <x v="1"/>
    <n v="394"/>
    <n v="394"/>
    <n v="0"/>
    <x v="7"/>
    <x v="76"/>
    <x v="1"/>
    <x v="1"/>
    <x v="0"/>
    <x v="3"/>
  </r>
  <r>
    <s v="08KG46TN02"/>
    <n v="5530136830"/>
    <n v="2703285082"/>
    <x v="1"/>
    <n v="123"/>
    <n v="73"/>
    <n v="50"/>
    <x v="2"/>
    <x v="81"/>
    <x v="1"/>
    <x v="1"/>
    <x v="2"/>
    <x v="5"/>
  </r>
  <r>
    <s v="ID5AXGTIDE"/>
    <n v="1875192791"/>
    <n v="6743799007"/>
    <x v="1"/>
    <n v="266"/>
    <n v="266"/>
    <n v="0"/>
    <x v="4"/>
    <x v="5"/>
    <x v="2"/>
    <x v="0"/>
    <x v="0"/>
    <x v="0"/>
  </r>
  <r>
    <s v="8NMD6CEZMD"/>
    <n v="3966361053"/>
    <n v="4551800170"/>
    <x v="0"/>
    <n v="467"/>
    <n v="283"/>
    <n v="184"/>
    <x v="4"/>
    <x v="87"/>
    <x v="1"/>
    <x v="1"/>
    <x v="2"/>
    <x v="8"/>
  </r>
  <r>
    <s v="ERY1K3Z0TB"/>
    <n v="1279913184"/>
    <n v="9851805454"/>
    <x v="4"/>
    <n v="163"/>
    <n v="163"/>
    <n v="0"/>
    <x v="5"/>
    <x v="79"/>
    <x v="2"/>
    <x v="0"/>
    <x v="0"/>
    <x v="0"/>
  </r>
  <r>
    <s v="9IFDDQ36FW"/>
    <n v="6297166856"/>
    <n v="915802079"/>
    <x v="3"/>
    <n v="153"/>
    <n v="93"/>
    <n v="60"/>
    <x v="8"/>
    <x v="34"/>
    <x v="2"/>
    <x v="2"/>
    <x v="2"/>
    <x v="5"/>
  </r>
  <r>
    <s v="CTJK42TUZ8"/>
    <n v="9775349310"/>
    <n v="6882527793"/>
    <x v="4"/>
    <n v="223"/>
    <n v="132"/>
    <n v="91"/>
    <x v="1"/>
    <x v="81"/>
    <x v="2"/>
    <x v="2"/>
    <x v="2"/>
    <x v="2"/>
  </r>
  <r>
    <s v="7RDGLF6OU7"/>
    <n v="1634518964"/>
    <n v="9476985881"/>
    <x v="3"/>
    <n v="493"/>
    <n v="493"/>
    <n v="0"/>
    <x v="8"/>
    <x v="73"/>
    <x v="1"/>
    <x v="0"/>
    <x v="0"/>
    <x v="0"/>
  </r>
  <r>
    <s v="W1RENLXMZ4"/>
    <n v="8111897515"/>
    <n v="8971633114"/>
    <x v="4"/>
    <n v="234"/>
    <n v="234"/>
    <n v="0"/>
    <x v="4"/>
    <x v="24"/>
    <x v="2"/>
    <x v="2"/>
    <x v="0"/>
    <x v="8"/>
  </r>
  <r>
    <s v="FOM6YO0M18"/>
    <n v="1471448010"/>
    <n v="3682648369"/>
    <x v="1"/>
    <n v="106"/>
    <n v="106"/>
    <n v="0"/>
    <x v="3"/>
    <x v="92"/>
    <x v="2"/>
    <x v="2"/>
    <x v="0"/>
    <x v="4"/>
  </r>
  <r>
    <s v="ZPUWYEDYOH"/>
    <n v="8076796115"/>
    <n v="5476158086"/>
    <x v="4"/>
    <n v="499"/>
    <n v="499"/>
    <n v="0"/>
    <x v="3"/>
    <x v="12"/>
    <x v="1"/>
    <x v="0"/>
    <x v="0"/>
    <x v="0"/>
  </r>
  <r>
    <s v="RB61VAQ523"/>
    <n v="5835602245"/>
    <n v="8105343872"/>
    <x v="3"/>
    <n v="102"/>
    <n v="0"/>
    <n v="102"/>
    <x v="6"/>
    <x v="25"/>
    <x v="1"/>
    <x v="1"/>
    <x v="1"/>
    <x v="1"/>
  </r>
  <r>
    <s v="WL60FKOVWH"/>
    <n v="6386975836"/>
    <n v="6894773821"/>
    <x v="1"/>
    <n v="261"/>
    <n v="216"/>
    <n v="45"/>
    <x v="0"/>
    <x v="87"/>
    <x v="1"/>
    <x v="2"/>
    <x v="2"/>
    <x v="1"/>
  </r>
  <r>
    <s v="AP28NM4VQO"/>
    <n v="2984792296"/>
    <n v="200837641"/>
    <x v="2"/>
    <n v="273"/>
    <n v="226"/>
    <n v="47"/>
    <x v="1"/>
    <x v="54"/>
    <x v="2"/>
    <x v="1"/>
    <x v="2"/>
    <x v="5"/>
  </r>
  <r>
    <s v="F0Y42MDKM6"/>
    <n v="8613123040"/>
    <n v="2880032021"/>
    <x v="3"/>
    <n v="253"/>
    <n v="164"/>
    <n v="89"/>
    <x v="9"/>
    <x v="19"/>
    <x v="0"/>
    <x v="1"/>
    <x v="2"/>
    <x v="4"/>
  </r>
  <r>
    <s v="57J87V07ZO"/>
    <n v="738289739"/>
    <n v="9589812752"/>
    <x v="3"/>
    <n v="130"/>
    <n v="130"/>
    <n v="0"/>
    <x v="4"/>
    <x v="67"/>
    <x v="2"/>
    <x v="2"/>
    <x v="0"/>
    <x v="5"/>
  </r>
  <r>
    <s v="8RA02PAZ3K"/>
    <n v="1361115956"/>
    <n v="3244418302"/>
    <x v="0"/>
    <n v="258"/>
    <n v="258"/>
    <n v="0"/>
    <x v="8"/>
    <x v="35"/>
    <x v="1"/>
    <x v="0"/>
    <x v="0"/>
    <x v="0"/>
  </r>
  <r>
    <s v="K8KCHTWFUS"/>
    <n v="2757348879"/>
    <n v="7931463843"/>
    <x v="0"/>
    <n v="293"/>
    <n v="293"/>
    <n v="0"/>
    <x v="7"/>
    <x v="9"/>
    <x v="1"/>
    <x v="2"/>
    <x v="0"/>
    <x v="4"/>
  </r>
  <r>
    <s v="FYVZLKU5TI"/>
    <n v="4447986801"/>
    <n v="3266439676"/>
    <x v="2"/>
    <n v="410"/>
    <n v="0"/>
    <n v="410"/>
    <x v="7"/>
    <x v="52"/>
    <x v="0"/>
    <x v="2"/>
    <x v="1"/>
    <x v="3"/>
  </r>
  <r>
    <s v="CYYSJWFT1W"/>
    <n v="6069303896"/>
    <n v="8561702107"/>
    <x v="1"/>
    <n v="493"/>
    <n v="493"/>
    <n v="0"/>
    <x v="5"/>
    <x v="36"/>
    <x v="2"/>
    <x v="0"/>
    <x v="0"/>
    <x v="0"/>
  </r>
  <r>
    <s v="YCS97XY0NS"/>
    <n v="2482921873"/>
    <n v="6220374170"/>
    <x v="2"/>
    <n v="475"/>
    <n v="0"/>
    <n v="475"/>
    <x v="8"/>
    <x v="60"/>
    <x v="1"/>
    <x v="1"/>
    <x v="1"/>
    <x v="1"/>
  </r>
  <r>
    <s v="6MHAEM4P58"/>
    <n v="1403659420"/>
    <n v="6230880952"/>
    <x v="4"/>
    <n v="144"/>
    <n v="0"/>
    <n v="144"/>
    <x v="9"/>
    <x v="92"/>
    <x v="1"/>
    <x v="1"/>
    <x v="1"/>
    <x v="5"/>
  </r>
  <r>
    <s v="5IKJGLKO4P"/>
    <n v="9760748135"/>
    <n v="4887462294"/>
    <x v="3"/>
    <n v="194"/>
    <n v="194"/>
    <n v="0"/>
    <x v="2"/>
    <x v="21"/>
    <x v="0"/>
    <x v="1"/>
    <x v="0"/>
    <x v="2"/>
  </r>
  <r>
    <s v="MGOUBYCPFB"/>
    <n v="6157503898"/>
    <n v="2527697483"/>
    <x v="4"/>
    <n v="221"/>
    <n v="221"/>
    <n v="0"/>
    <x v="4"/>
    <x v="53"/>
    <x v="0"/>
    <x v="0"/>
    <x v="0"/>
    <x v="0"/>
  </r>
  <r>
    <s v="B07E0WBIBB"/>
    <n v="3606916645"/>
    <n v="1926087270"/>
    <x v="4"/>
    <n v="268"/>
    <n v="268"/>
    <n v="0"/>
    <x v="7"/>
    <x v="31"/>
    <x v="1"/>
    <x v="1"/>
    <x v="0"/>
    <x v="4"/>
  </r>
  <r>
    <s v="HCNJAJGT4Z"/>
    <n v="8157949215"/>
    <n v="2094235196"/>
    <x v="4"/>
    <n v="407"/>
    <n v="0"/>
    <n v="407"/>
    <x v="9"/>
    <x v="10"/>
    <x v="1"/>
    <x v="2"/>
    <x v="1"/>
    <x v="4"/>
  </r>
  <r>
    <s v="6LE49QIXCT"/>
    <n v="7067651979"/>
    <n v="2449550735"/>
    <x v="2"/>
    <n v="224"/>
    <n v="224"/>
    <n v="0"/>
    <x v="2"/>
    <x v="67"/>
    <x v="2"/>
    <x v="0"/>
    <x v="0"/>
    <x v="0"/>
  </r>
  <r>
    <s v="PUKOSNJ35K"/>
    <n v="3589830297"/>
    <n v="2564297802"/>
    <x v="4"/>
    <n v="336"/>
    <n v="336"/>
    <n v="0"/>
    <x v="4"/>
    <x v="26"/>
    <x v="0"/>
    <x v="0"/>
    <x v="0"/>
    <x v="0"/>
  </r>
  <r>
    <s v="CNBBUT8T5I"/>
    <n v="6906960537"/>
    <n v="8162680768"/>
    <x v="4"/>
    <n v="206"/>
    <n v="206"/>
    <n v="0"/>
    <x v="5"/>
    <x v="70"/>
    <x v="1"/>
    <x v="0"/>
    <x v="0"/>
    <x v="0"/>
  </r>
  <r>
    <s v="L797FD0SNP"/>
    <n v="8167248958"/>
    <n v="5110005106"/>
    <x v="3"/>
    <n v="315"/>
    <n v="315"/>
    <n v="0"/>
    <x v="4"/>
    <x v="81"/>
    <x v="2"/>
    <x v="2"/>
    <x v="0"/>
    <x v="8"/>
  </r>
  <r>
    <s v="Z1Z2ZQ5U7U"/>
    <n v="1349303532"/>
    <n v="6901213080"/>
    <x v="3"/>
    <n v="241"/>
    <n v="0"/>
    <n v="241"/>
    <x v="4"/>
    <x v="64"/>
    <x v="1"/>
    <x v="1"/>
    <x v="1"/>
    <x v="8"/>
  </r>
  <r>
    <s v="NO6GY7VPNW"/>
    <n v="3898126236"/>
    <n v="7755790536"/>
    <x v="1"/>
    <n v="411"/>
    <n v="363"/>
    <n v="48"/>
    <x v="6"/>
    <x v="4"/>
    <x v="0"/>
    <x v="1"/>
    <x v="2"/>
    <x v="7"/>
  </r>
  <r>
    <s v="OYBVBAKDX5"/>
    <n v="4846562775"/>
    <n v="6674193644"/>
    <x v="3"/>
    <n v="493"/>
    <n v="493"/>
    <n v="0"/>
    <x v="4"/>
    <x v="94"/>
    <x v="0"/>
    <x v="0"/>
    <x v="0"/>
    <x v="0"/>
  </r>
  <r>
    <s v="EPKY9B3VTO"/>
    <n v="7918210703"/>
    <n v="3243112441"/>
    <x v="2"/>
    <n v="398"/>
    <n v="398"/>
    <n v="0"/>
    <x v="7"/>
    <x v="98"/>
    <x v="0"/>
    <x v="2"/>
    <x v="0"/>
    <x v="8"/>
  </r>
  <r>
    <s v="86F69M8L9E"/>
    <n v="5216866341"/>
    <n v="5837656993"/>
    <x v="4"/>
    <n v="435"/>
    <n v="435"/>
    <n v="0"/>
    <x v="6"/>
    <x v="8"/>
    <x v="1"/>
    <x v="2"/>
    <x v="0"/>
    <x v="7"/>
  </r>
  <r>
    <s v="3K0AR4BPGW"/>
    <n v="7186219377"/>
    <n v="4447680862"/>
    <x v="3"/>
    <n v="254"/>
    <n v="0"/>
    <n v="254"/>
    <x v="0"/>
    <x v="21"/>
    <x v="0"/>
    <x v="1"/>
    <x v="1"/>
    <x v="7"/>
  </r>
  <r>
    <s v="PABV6OLKMQ"/>
    <n v="921406073"/>
    <n v="337136021"/>
    <x v="1"/>
    <n v="172"/>
    <n v="172"/>
    <n v="0"/>
    <x v="9"/>
    <x v="44"/>
    <x v="2"/>
    <x v="1"/>
    <x v="0"/>
    <x v="5"/>
  </r>
  <r>
    <s v="6BJE3LNSJQ"/>
    <n v="4572538149"/>
    <n v="7219235174"/>
    <x v="3"/>
    <n v="104"/>
    <n v="0"/>
    <n v="104"/>
    <x v="3"/>
    <x v="52"/>
    <x v="0"/>
    <x v="1"/>
    <x v="1"/>
    <x v="1"/>
  </r>
  <r>
    <s v="BGG466BHSJ"/>
    <n v="2863491959"/>
    <n v="6354787758"/>
    <x v="3"/>
    <n v="256"/>
    <n v="256"/>
    <n v="0"/>
    <x v="0"/>
    <x v="65"/>
    <x v="2"/>
    <x v="1"/>
    <x v="0"/>
    <x v="8"/>
  </r>
  <r>
    <s v="4B1AHMG221"/>
    <n v="6266713415"/>
    <n v="9070895892"/>
    <x v="1"/>
    <n v="434"/>
    <n v="352"/>
    <n v="82"/>
    <x v="1"/>
    <x v="99"/>
    <x v="1"/>
    <x v="1"/>
    <x v="2"/>
    <x v="3"/>
  </r>
  <r>
    <s v="UMVJDSVJR8"/>
    <n v="6077384529"/>
    <n v="7465288519"/>
    <x v="2"/>
    <n v="187"/>
    <n v="0"/>
    <n v="187"/>
    <x v="3"/>
    <x v="93"/>
    <x v="1"/>
    <x v="2"/>
    <x v="1"/>
    <x v="7"/>
  </r>
  <r>
    <s v="TDOMP7GJ2J"/>
    <n v="1082035342"/>
    <n v="6177072666"/>
    <x v="0"/>
    <n v="294"/>
    <n v="209"/>
    <n v="85"/>
    <x v="9"/>
    <x v="22"/>
    <x v="2"/>
    <x v="1"/>
    <x v="2"/>
    <x v="5"/>
  </r>
  <r>
    <s v="YLF0TRZ099"/>
    <n v="7200068424"/>
    <n v="6822986567"/>
    <x v="1"/>
    <n v="415"/>
    <n v="415"/>
    <n v="0"/>
    <x v="5"/>
    <x v="29"/>
    <x v="0"/>
    <x v="0"/>
    <x v="0"/>
    <x v="0"/>
  </r>
  <r>
    <s v="EFCJAMQ3AG"/>
    <n v="8200657139"/>
    <n v="3173754229"/>
    <x v="0"/>
    <n v="440"/>
    <n v="440"/>
    <n v="0"/>
    <x v="6"/>
    <x v="91"/>
    <x v="2"/>
    <x v="2"/>
    <x v="0"/>
    <x v="8"/>
  </r>
  <r>
    <s v="NFWA7XAG06"/>
    <n v="1870104129"/>
    <n v="5078508507"/>
    <x v="0"/>
    <n v="122"/>
    <n v="87"/>
    <n v="35"/>
    <x v="6"/>
    <x v="87"/>
    <x v="1"/>
    <x v="1"/>
    <x v="2"/>
    <x v="2"/>
  </r>
  <r>
    <s v="M9H3WABYHK"/>
    <n v="2506623275"/>
    <n v="8185185880"/>
    <x v="1"/>
    <n v="360"/>
    <n v="360"/>
    <n v="0"/>
    <x v="2"/>
    <x v="78"/>
    <x v="1"/>
    <x v="1"/>
    <x v="0"/>
    <x v="6"/>
  </r>
  <r>
    <s v="VQSZIK4R0J"/>
    <n v="1765123228"/>
    <n v="6637239293"/>
    <x v="4"/>
    <n v="301"/>
    <n v="301"/>
    <n v="0"/>
    <x v="0"/>
    <x v="28"/>
    <x v="2"/>
    <x v="0"/>
    <x v="0"/>
    <x v="0"/>
  </r>
  <r>
    <s v="5BJDCTPIVV"/>
    <n v="6008848858"/>
    <n v="6457551131"/>
    <x v="0"/>
    <n v="448"/>
    <n v="298"/>
    <n v="150"/>
    <x v="1"/>
    <x v="97"/>
    <x v="0"/>
    <x v="2"/>
    <x v="2"/>
    <x v="3"/>
  </r>
  <r>
    <s v="0AQ1RKI4OP"/>
    <n v="8410571076"/>
    <n v="2010629410"/>
    <x v="1"/>
    <n v="376"/>
    <n v="376"/>
    <n v="0"/>
    <x v="2"/>
    <x v="61"/>
    <x v="2"/>
    <x v="1"/>
    <x v="0"/>
    <x v="2"/>
  </r>
  <r>
    <s v="BGZ9T7Q7PY"/>
    <n v="2009422434"/>
    <n v="6341199257"/>
    <x v="4"/>
    <n v="424"/>
    <n v="0"/>
    <n v="424"/>
    <x v="3"/>
    <x v="98"/>
    <x v="2"/>
    <x v="2"/>
    <x v="1"/>
    <x v="6"/>
  </r>
  <r>
    <s v="HGF6SVZ8XH"/>
    <n v="4295577634"/>
    <n v="3293176644"/>
    <x v="1"/>
    <n v="283"/>
    <n v="283"/>
    <n v="0"/>
    <x v="7"/>
    <x v="40"/>
    <x v="1"/>
    <x v="0"/>
    <x v="0"/>
    <x v="0"/>
  </r>
  <r>
    <s v="IUZ0VOYKNH"/>
    <n v="1148268048"/>
    <n v="6724619623"/>
    <x v="2"/>
    <n v="374"/>
    <n v="374"/>
    <n v="0"/>
    <x v="0"/>
    <x v="18"/>
    <x v="1"/>
    <x v="0"/>
    <x v="0"/>
    <x v="0"/>
  </r>
  <r>
    <s v="JEKNLS2R5J"/>
    <n v="9357330180"/>
    <n v="80831124"/>
    <x v="3"/>
    <n v="241"/>
    <n v="241"/>
    <n v="0"/>
    <x v="5"/>
    <x v="49"/>
    <x v="2"/>
    <x v="0"/>
    <x v="0"/>
    <x v="0"/>
  </r>
  <r>
    <s v="SS16360ERW"/>
    <n v="6236795610"/>
    <n v="9216323527"/>
    <x v="3"/>
    <n v="343"/>
    <n v="343"/>
    <n v="0"/>
    <x v="8"/>
    <x v="92"/>
    <x v="1"/>
    <x v="0"/>
    <x v="0"/>
    <x v="0"/>
  </r>
  <r>
    <s v="2M24IKVGJJ"/>
    <n v="2079553648"/>
    <n v="412606650"/>
    <x v="2"/>
    <n v="255"/>
    <n v="0"/>
    <n v="255"/>
    <x v="2"/>
    <x v="52"/>
    <x v="2"/>
    <x v="2"/>
    <x v="1"/>
    <x v="1"/>
  </r>
  <r>
    <s v="VY8HSZ3J87"/>
    <n v="3015521505"/>
    <n v="7948989924"/>
    <x v="1"/>
    <n v="389"/>
    <n v="389"/>
    <n v="0"/>
    <x v="3"/>
    <x v="17"/>
    <x v="1"/>
    <x v="0"/>
    <x v="0"/>
    <x v="0"/>
  </r>
  <r>
    <s v="1BDJ66Q452"/>
    <n v="6254400846"/>
    <n v="1746472358"/>
    <x v="0"/>
    <n v="487"/>
    <n v="0"/>
    <n v="487"/>
    <x v="0"/>
    <x v="90"/>
    <x v="1"/>
    <x v="2"/>
    <x v="1"/>
    <x v="3"/>
  </r>
  <r>
    <s v="QU9DY8FFQL"/>
    <n v="9018959331"/>
    <n v="7861561120"/>
    <x v="1"/>
    <n v="224"/>
    <n v="136"/>
    <n v="88"/>
    <x v="2"/>
    <x v="97"/>
    <x v="0"/>
    <x v="2"/>
    <x v="2"/>
    <x v="3"/>
  </r>
  <r>
    <s v="XYWYHSG74M"/>
    <n v="5329944100"/>
    <n v="6137557422"/>
    <x v="3"/>
    <n v="249"/>
    <n v="186"/>
    <n v="63"/>
    <x v="2"/>
    <x v="66"/>
    <x v="1"/>
    <x v="2"/>
    <x v="2"/>
    <x v="1"/>
  </r>
  <r>
    <s v="585SJ9K52L"/>
    <n v="8107812120"/>
    <n v="3001911407"/>
    <x v="2"/>
    <n v="130"/>
    <n v="130"/>
    <n v="0"/>
    <x v="6"/>
    <x v="53"/>
    <x v="0"/>
    <x v="2"/>
    <x v="0"/>
    <x v="2"/>
  </r>
  <r>
    <s v="TBB3T8EH51"/>
    <n v="3535066461"/>
    <n v="9846218210"/>
    <x v="2"/>
    <n v="387"/>
    <n v="0"/>
    <n v="387"/>
    <x v="6"/>
    <x v="6"/>
    <x v="0"/>
    <x v="1"/>
    <x v="1"/>
    <x v="3"/>
  </r>
  <r>
    <s v="IV5DPIAVYI"/>
    <n v="7487682932"/>
    <n v="9586925444"/>
    <x v="3"/>
    <n v="254"/>
    <n v="254"/>
    <n v="0"/>
    <x v="6"/>
    <x v="3"/>
    <x v="1"/>
    <x v="0"/>
    <x v="0"/>
    <x v="0"/>
  </r>
  <r>
    <s v="TWUIVJOJPP"/>
    <n v="736662681"/>
    <n v="809572228"/>
    <x v="3"/>
    <n v="432"/>
    <n v="432"/>
    <n v="0"/>
    <x v="5"/>
    <x v="86"/>
    <x v="2"/>
    <x v="0"/>
    <x v="0"/>
    <x v="0"/>
  </r>
  <r>
    <s v="HJES7YGQ7B"/>
    <n v="5812341342"/>
    <n v="1688804423"/>
    <x v="1"/>
    <n v="183"/>
    <n v="0"/>
    <n v="183"/>
    <x v="1"/>
    <x v="67"/>
    <x v="2"/>
    <x v="2"/>
    <x v="1"/>
    <x v="8"/>
  </r>
  <r>
    <s v="V6SVI279AR"/>
    <n v="1018641925"/>
    <n v="5855204902"/>
    <x v="3"/>
    <n v="372"/>
    <n v="372"/>
    <n v="0"/>
    <x v="6"/>
    <x v="10"/>
    <x v="1"/>
    <x v="0"/>
    <x v="0"/>
    <x v="0"/>
  </r>
  <r>
    <s v="1PS63SZRP0"/>
    <n v="6996555508"/>
    <n v="1455603496"/>
    <x v="4"/>
    <n v="117"/>
    <n v="117"/>
    <n v="0"/>
    <x v="2"/>
    <x v="70"/>
    <x v="0"/>
    <x v="1"/>
    <x v="0"/>
    <x v="5"/>
  </r>
  <r>
    <s v="B9S8MF5KB4"/>
    <n v="2776830875"/>
    <n v="1053675238"/>
    <x v="2"/>
    <n v="131"/>
    <n v="0"/>
    <n v="131"/>
    <x v="3"/>
    <x v="22"/>
    <x v="2"/>
    <x v="1"/>
    <x v="1"/>
    <x v="2"/>
  </r>
  <r>
    <s v="EC3CBF0A85"/>
    <n v="251596075"/>
    <n v="4256135804"/>
    <x v="1"/>
    <n v="297"/>
    <n v="297"/>
    <n v="0"/>
    <x v="7"/>
    <x v="42"/>
    <x v="1"/>
    <x v="2"/>
    <x v="0"/>
    <x v="6"/>
  </r>
  <r>
    <s v="HRS9X0U3RP"/>
    <n v="814323323"/>
    <n v="548964289"/>
    <x v="0"/>
    <n v="342"/>
    <n v="342"/>
    <n v="0"/>
    <x v="4"/>
    <x v="92"/>
    <x v="0"/>
    <x v="2"/>
    <x v="0"/>
    <x v="4"/>
  </r>
  <r>
    <s v="T30CYF9HYC"/>
    <n v="2653459517"/>
    <n v="8280092326"/>
    <x v="3"/>
    <n v="442"/>
    <n v="442"/>
    <n v="0"/>
    <x v="9"/>
    <x v="35"/>
    <x v="2"/>
    <x v="1"/>
    <x v="0"/>
    <x v="1"/>
  </r>
  <r>
    <s v="TFPW9XYEUW"/>
    <n v="7891665959"/>
    <n v="531953356"/>
    <x v="3"/>
    <n v="399"/>
    <n v="399"/>
    <n v="0"/>
    <x v="5"/>
    <x v="76"/>
    <x v="2"/>
    <x v="0"/>
    <x v="0"/>
    <x v="0"/>
  </r>
  <r>
    <s v="WWY9YQYOR5"/>
    <n v="801815815"/>
    <n v="1645428235"/>
    <x v="1"/>
    <n v="217"/>
    <n v="217"/>
    <n v="0"/>
    <x v="7"/>
    <x v="65"/>
    <x v="0"/>
    <x v="1"/>
    <x v="0"/>
    <x v="2"/>
  </r>
  <r>
    <s v="HZUOM3LF4T"/>
    <n v="4026823775"/>
    <n v="4687779032"/>
    <x v="2"/>
    <n v="463"/>
    <n v="0"/>
    <n v="463"/>
    <x v="7"/>
    <x v="20"/>
    <x v="0"/>
    <x v="1"/>
    <x v="1"/>
    <x v="5"/>
  </r>
  <r>
    <s v="HY0R1T7JO0"/>
    <n v="5126935539"/>
    <n v="6341148941"/>
    <x v="3"/>
    <n v="222"/>
    <n v="0"/>
    <n v="222"/>
    <x v="3"/>
    <x v="76"/>
    <x v="0"/>
    <x v="1"/>
    <x v="1"/>
    <x v="5"/>
  </r>
  <r>
    <s v="HDHWAID8ZV"/>
    <n v="9638695179"/>
    <n v="6774835174"/>
    <x v="1"/>
    <n v="398"/>
    <n v="398"/>
    <n v="0"/>
    <x v="7"/>
    <x v="8"/>
    <x v="0"/>
    <x v="2"/>
    <x v="0"/>
    <x v="6"/>
  </r>
  <r>
    <s v="AI9ZGV3O5W"/>
    <n v="413635615"/>
    <n v="392140271"/>
    <x v="0"/>
    <n v="178"/>
    <n v="178"/>
    <n v="0"/>
    <x v="3"/>
    <x v="2"/>
    <x v="1"/>
    <x v="2"/>
    <x v="0"/>
    <x v="2"/>
  </r>
  <r>
    <s v="A25OXEV0JO"/>
    <n v="9122941551"/>
    <n v="8439672012"/>
    <x v="1"/>
    <n v="269"/>
    <n v="269"/>
    <n v="0"/>
    <x v="6"/>
    <x v="51"/>
    <x v="1"/>
    <x v="1"/>
    <x v="0"/>
    <x v="3"/>
  </r>
  <r>
    <s v="RNZRP67BH9"/>
    <n v="7613443763"/>
    <n v="2526154055"/>
    <x v="2"/>
    <n v="250"/>
    <n v="250"/>
    <n v="0"/>
    <x v="9"/>
    <x v="30"/>
    <x v="1"/>
    <x v="1"/>
    <x v="0"/>
    <x v="4"/>
  </r>
  <r>
    <s v="6A59DETALK"/>
    <n v="3314515545"/>
    <n v="4414052055"/>
    <x v="0"/>
    <n v="294"/>
    <n v="0"/>
    <n v="294"/>
    <x v="4"/>
    <x v="36"/>
    <x v="2"/>
    <x v="2"/>
    <x v="1"/>
    <x v="1"/>
  </r>
  <r>
    <s v="41NJ11CAZ5"/>
    <n v="2216245486"/>
    <n v="478428518"/>
    <x v="4"/>
    <n v="201"/>
    <n v="201"/>
    <n v="0"/>
    <x v="4"/>
    <x v="85"/>
    <x v="1"/>
    <x v="0"/>
    <x v="0"/>
    <x v="0"/>
  </r>
  <r>
    <s v="ERMK3M2VY1"/>
    <n v="6366795476"/>
    <n v="2917700385"/>
    <x v="3"/>
    <n v="311"/>
    <n v="311"/>
    <n v="0"/>
    <x v="4"/>
    <x v="43"/>
    <x v="2"/>
    <x v="1"/>
    <x v="0"/>
    <x v="2"/>
  </r>
  <r>
    <s v="XCEM92G6KD"/>
    <n v="2727134506"/>
    <n v="6226018283"/>
    <x v="1"/>
    <n v="323"/>
    <n v="0"/>
    <n v="323"/>
    <x v="8"/>
    <x v="76"/>
    <x v="0"/>
    <x v="1"/>
    <x v="1"/>
    <x v="6"/>
  </r>
  <r>
    <s v="IDINVUDJGV"/>
    <n v="5145102885"/>
    <n v="413266303"/>
    <x v="1"/>
    <n v="212"/>
    <n v="122"/>
    <n v="90"/>
    <x v="5"/>
    <x v="72"/>
    <x v="2"/>
    <x v="1"/>
    <x v="2"/>
    <x v="2"/>
  </r>
  <r>
    <s v="2MNJ971AQC"/>
    <n v="9950651113"/>
    <n v="7845937520"/>
    <x v="1"/>
    <n v="212"/>
    <n v="212"/>
    <n v="0"/>
    <x v="0"/>
    <x v="3"/>
    <x v="2"/>
    <x v="0"/>
    <x v="0"/>
    <x v="0"/>
  </r>
  <r>
    <s v="VSZXB4RKBB"/>
    <n v="6610129623"/>
    <n v="3715469538"/>
    <x v="1"/>
    <n v="462"/>
    <n v="462"/>
    <n v="0"/>
    <x v="0"/>
    <x v="96"/>
    <x v="0"/>
    <x v="1"/>
    <x v="0"/>
    <x v="8"/>
  </r>
  <r>
    <s v="4LBC66TAM4"/>
    <n v="8927277378"/>
    <n v="3009043882"/>
    <x v="2"/>
    <n v="115"/>
    <n v="0"/>
    <n v="115"/>
    <x v="3"/>
    <x v="47"/>
    <x v="0"/>
    <x v="2"/>
    <x v="1"/>
    <x v="3"/>
  </r>
  <r>
    <s v="VW7UAO4ZXG"/>
    <n v="5067774157"/>
    <n v="9543358992"/>
    <x v="1"/>
    <n v="302"/>
    <n v="302"/>
    <n v="0"/>
    <x v="0"/>
    <x v="78"/>
    <x v="0"/>
    <x v="1"/>
    <x v="0"/>
    <x v="2"/>
  </r>
  <r>
    <s v="7N4H8QXWN2"/>
    <n v="5707574538"/>
    <n v="3804574549"/>
    <x v="3"/>
    <n v="278"/>
    <n v="278"/>
    <n v="0"/>
    <x v="5"/>
    <x v="48"/>
    <x v="0"/>
    <x v="0"/>
    <x v="0"/>
    <x v="0"/>
  </r>
  <r>
    <s v="K5QT9NFGOE"/>
    <n v="5938896066"/>
    <n v="3307221571"/>
    <x v="2"/>
    <n v="284"/>
    <n v="196"/>
    <n v="88"/>
    <x v="0"/>
    <x v="55"/>
    <x v="2"/>
    <x v="2"/>
    <x v="2"/>
    <x v="1"/>
  </r>
  <r>
    <s v="YKWF983LVJ"/>
    <n v="7625993237"/>
    <n v="2693287859"/>
    <x v="1"/>
    <n v="283"/>
    <n v="283"/>
    <n v="0"/>
    <x v="6"/>
    <x v="16"/>
    <x v="1"/>
    <x v="1"/>
    <x v="0"/>
    <x v="4"/>
  </r>
  <r>
    <s v="8W8IUAKOHP"/>
    <n v="9986426461"/>
    <n v="8461022469"/>
    <x v="3"/>
    <n v="247"/>
    <n v="0"/>
    <n v="247"/>
    <x v="3"/>
    <x v="56"/>
    <x v="0"/>
    <x v="1"/>
    <x v="1"/>
    <x v="6"/>
  </r>
  <r>
    <s v="SZMCXTGOR6"/>
    <n v="495170155"/>
    <n v="8697678811"/>
    <x v="4"/>
    <n v="346"/>
    <n v="254"/>
    <n v="92"/>
    <x v="0"/>
    <x v="82"/>
    <x v="1"/>
    <x v="1"/>
    <x v="2"/>
    <x v="2"/>
  </r>
  <r>
    <s v="IWX04IUGDO"/>
    <n v="1494804036"/>
    <n v="3580071907"/>
    <x v="3"/>
    <n v="244"/>
    <n v="244"/>
    <n v="0"/>
    <x v="6"/>
    <x v="71"/>
    <x v="2"/>
    <x v="1"/>
    <x v="0"/>
    <x v="4"/>
  </r>
  <r>
    <s v="HWFS54VKEP"/>
    <n v="3334983044"/>
    <n v="2635881471"/>
    <x v="1"/>
    <n v="286"/>
    <n v="175"/>
    <n v="111"/>
    <x v="6"/>
    <x v="62"/>
    <x v="1"/>
    <x v="2"/>
    <x v="2"/>
    <x v="5"/>
  </r>
  <r>
    <s v="8J9QLTOXN0"/>
    <n v="6457795017"/>
    <n v="6675714223"/>
    <x v="2"/>
    <n v="392"/>
    <n v="392"/>
    <n v="0"/>
    <x v="8"/>
    <x v="39"/>
    <x v="0"/>
    <x v="0"/>
    <x v="0"/>
    <x v="0"/>
  </r>
  <r>
    <s v="9MT9VUTO0Q"/>
    <n v="8169947502"/>
    <n v="9546221430"/>
    <x v="2"/>
    <n v="487"/>
    <n v="0"/>
    <n v="487"/>
    <x v="4"/>
    <x v="49"/>
    <x v="1"/>
    <x v="1"/>
    <x v="1"/>
    <x v="3"/>
  </r>
  <r>
    <s v="6H0WRQY9CU"/>
    <n v="6662517566"/>
    <n v="8725423727"/>
    <x v="0"/>
    <n v="387"/>
    <n v="387"/>
    <n v="0"/>
    <x v="2"/>
    <x v="21"/>
    <x v="2"/>
    <x v="0"/>
    <x v="0"/>
    <x v="0"/>
  </r>
  <r>
    <s v="1BRFVQUBRX"/>
    <n v="6094773848"/>
    <n v="9748845982"/>
    <x v="3"/>
    <n v="359"/>
    <n v="359"/>
    <n v="0"/>
    <x v="7"/>
    <x v="95"/>
    <x v="2"/>
    <x v="0"/>
    <x v="0"/>
    <x v="0"/>
  </r>
  <r>
    <s v="IT63EE5CMJ"/>
    <n v="1653126830"/>
    <n v="9620728728"/>
    <x v="2"/>
    <n v="284"/>
    <n v="168"/>
    <n v="116"/>
    <x v="0"/>
    <x v="74"/>
    <x v="2"/>
    <x v="2"/>
    <x v="2"/>
    <x v="1"/>
  </r>
  <r>
    <s v="49ECQLXTDA"/>
    <n v="4381850776"/>
    <n v="2435320511"/>
    <x v="3"/>
    <n v="113"/>
    <n v="0"/>
    <n v="113"/>
    <x v="5"/>
    <x v="7"/>
    <x v="0"/>
    <x v="2"/>
    <x v="1"/>
    <x v="1"/>
  </r>
  <r>
    <s v="6CE0BBF8CQ"/>
    <n v="1909558771"/>
    <n v="3504290891"/>
    <x v="1"/>
    <n v="334"/>
    <n v="334"/>
    <n v="0"/>
    <x v="1"/>
    <x v="78"/>
    <x v="1"/>
    <x v="0"/>
    <x v="0"/>
    <x v="0"/>
  </r>
  <r>
    <s v="R7YZ5O4B4N"/>
    <n v="5752310883"/>
    <n v="2570622396"/>
    <x v="1"/>
    <n v="161"/>
    <n v="161"/>
    <n v="0"/>
    <x v="6"/>
    <x v="93"/>
    <x v="0"/>
    <x v="1"/>
    <x v="0"/>
    <x v="2"/>
  </r>
  <r>
    <s v="DP10O1MHPI"/>
    <n v="6746209655"/>
    <n v="8891698842"/>
    <x v="3"/>
    <n v="285"/>
    <n v="0"/>
    <n v="285"/>
    <x v="8"/>
    <x v="87"/>
    <x v="0"/>
    <x v="1"/>
    <x v="1"/>
    <x v="2"/>
  </r>
  <r>
    <s v="M5OQVEKK69"/>
    <n v="6329752044"/>
    <n v="9602608431"/>
    <x v="2"/>
    <n v="167"/>
    <n v="167"/>
    <n v="0"/>
    <x v="1"/>
    <x v="70"/>
    <x v="1"/>
    <x v="2"/>
    <x v="0"/>
    <x v="8"/>
  </r>
  <r>
    <s v="5MJVJFSEK0"/>
    <n v="5193959660"/>
    <n v="8963202719"/>
    <x v="2"/>
    <n v="336"/>
    <n v="336"/>
    <n v="0"/>
    <x v="9"/>
    <x v="58"/>
    <x v="0"/>
    <x v="1"/>
    <x v="0"/>
    <x v="2"/>
  </r>
  <r>
    <s v="QXY8YO7IPK"/>
    <n v="4080127787"/>
    <n v="3750245866"/>
    <x v="0"/>
    <n v="326"/>
    <n v="264"/>
    <n v="62"/>
    <x v="3"/>
    <x v="93"/>
    <x v="2"/>
    <x v="1"/>
    <x v="2"/>
    <x v="3"/>
  </r>
  <r>
    <s v="I0COEIQ712"/>
    <n v="1546641534"/>
    <n v="1931012006"/>
    <x v="1"/>
    <n v="286"/>
    <n v="286"/>
    <n v="0"/>
    <x v="0"/>
    <x v="4"/>
    <x v="1"/>
    <x v="1"/>
    <x v="0"/>
    <x v="2"/>
  </r>
  <r>
    <s v="B8G2Z3P19S"/>
    <n v="8845076373"/>
    <n v="1671136174"/>
    <x v="2"/>
    <n v="445"/>
    <n v="445"/>
    <n v="0"/>
    <x v="3"/>
    <x v="54"/>
    <x v="2"/>
    <x v="0"/>
    <x v="0"/>
    <x v="0"/>
  </r>
  <r>
    <s v="F6SHBARQ3Z"/>
    <n v="7980864512"/>
    <n v="3721756429"/>
    <x v="0"/>
    <n v="184"/>
    <n v="184"/>
    <n v="0"/>
    <x v="3"/>
    <x v="88"/>
    <x v="0"/>
    <x v="0"/>
    <x v="0"/>
    <x v="0"/>
  </r>
  <r>
    <s v="QB701VMD0V"/>
    <n v="7759270927"/>
    <n v="8611941725"/>
    <x v="1"/>
    <n v="388"/>
    <n v="388"/>
    <n v="0"/>
    <x v="6"/>
    <x v="75"/>
    <x v="2"/>
    <x v="0"/>
    <x v="0"/>
    <x v="0"/>
  </r>
  <r>
    <s v="GNEA2YZX7V"/>
    <n v="7851521611"/>
    <n v="8366349464"/>
    <x v="3"/>
    <n v="476"/>
    <n v="0"/>
    <n v="476"/>
    <x v="3"/>
    <x v="22"/>
    <x v="2"/>
    <x v="1"/>
    <x v="1"/>
    <x v="8"/>
  </r>
  <r>
    <s v="MEI0899HP0"/>
    <n v="452450834"/>
    <n v="6104869152"/>
    <x v="1"/>
    <n v="281"/>
    <n v="281"/>
    <n v="0"/>
    <x v="6"/>
    <x v="95"/>
    <x v="2"/>
    <x v="0"/>
    <x v="0"/>
    <x v="0"/>
  </r>
  <r>
    <s v="HV6YJFPHS1"/>
    <n v="4509814818"/>
    <n v="7582121775"/>
    <x v="3"/>
    <n v="498"/>
    <n v="305"/>
    <n v="193"/>
    <x v="0"/>
    <x v="76"/>
    <x v="1"/>
    <x v="2"/>
    <x v="2"/>
    <x v="4"/>
  </r>
  <r>
    <s v="I70YO0KX89"/>
    <n v="6180277718"/>
    <n v="3141924361"/>
    <x v="0"/>
    <n v="406"/>
    <n v="406"/>
    <n v="0"/>
    <x v="7"/>
    <x v="11"/>
    <x v="2"/>
    <x v="2"/>
    <x v="0"/>
    <x v="7"/>
  </r>
  <r>
    <s v="SVHZ5N5L9U"/>
    <n v="8896804514"/>
    <n v="5905265146"/>
    <x v="2"/>
    <n v="480"/>
    <n v="0"/>
    <n v="480"/>
    <x v="2"/>
    <x v="26"/>
    <x v="0"/>
    <x v="2"/>
    <x v="1"/>
    <x v="3"/>
  </r>
  <r>
    <s v="KRG7YQLWBN"/>
    <n v="8240863264"/>
    <n v="5248542589"/>
    <x v="1"/>
    <n v="455"/>
    <n v="0"/>
    <n v="455"/>
    <x v="5"/>
    <x v="12"/>
    <x v="0"/>
    <x v="2"/>
    <x v="1"/>
    <x v="7"/>
  </r>
  <r>
    <s v="6T7T133G7D"/>
    <n v="1439605185"/>
    <n v="3000311504"/>
    <x v="4"/>
    <n v="395"/>
    <n v="395"/>
    <n v="0"/>
    <x v="1"/>
    <x v="27"/>
    <x v="0"/>
    <x v="1"/>
    <x v="0"/>
    <x v="6"/>
  </r>
  <r>
    <s v="NBANX0TOE2"/>
    <n v="8635789089"/>
    <n v="2381722100"/>
    <x v="0"/>
    <n v="469"/>
    <n v="469"/>
    <n v="0"/>
    <x v="2"/>
    <x v="19"/>
    <x v="1"/>
    <x v="1"/>
    <x v="0"/>
    <x v="1"/>
  </r>
  <r>
    <s v="L3ZDDFMPV3"/>
    <n v="6290196105"/>
    <n v="4581621497"/>
    <x v="2"/>
    <n v="363"/>
    <n v="363"/>
    <n v="0"/>
    <x v="9"/>
    <x v="6"/>
    <x v="2"/>
    <x v="0"/>
    <x v="0"/>
    <x v="0"/>
  </r>
  <r>
    <s v="OF1IZ9KE0U"/>
    <n v="5747845162"/>
    <n v="4902229116"/>
    <x v="3"/>
    <n v="382"/>
    <n v="382"/>
    <n v="0"/>
    <x v="1"/>
    <x v="59"/>
    <x v="1"/>
    <x v="0"/>
    <x v="0"/>
    <x v="0"/>
  </r>
  <r>
    <s v="N83QNF7PKZ"/>
    <n v="9763625200"/>
    <n v="528779782"/>
    <x v="2"/>
    <n v="379"/>
    <n v="379"/>
    <n v="0"/>
    <x v="0"/>
    <x v="29"/>
    <x v="2"/>
    <x v="0"/>
    <x v="0"/>
    <x v="0"/>
  </r>
  <r>
    <s v="2WAHO1CP2T"/>
    <n v="608795353"/>
    <n v="5885172108"/>
    <x v="0"/>
    <n v="329"/>
    <n v="0"/>
    <n v="329"/>
    <x v="7"/>
    <x v="71"/>
    <x v="0"/>
    <x v="1"/>
    <x v="1"/>
    <x v="2"/>
  </r>
  <r>
    <s v="MR1H4QC8D4"/>
    <n v="6849984579"/>
    <n v="1765819523"/>
    <x v="3"/>
    <n v="416"/>
    <n v="281"/>
    <n v="135"/>
    <x v="9"/>
    <x v="6"/>
    <x v="0"/>
    <x v="2"/>
    <x v="2"/>
    <x v="5"/>
  </r>
  <r>
    <s v="FOPP5FC18T"/>
    <n v="9972934149"/>
    <n v="8462713189"/>
    <x v="2"/>
    <n v="334"/>
    <n v="334"/>
    <n v="0"/>
    <x v="1"/>
    <x v="73"/>
    <x v="1"/>
    <x v="0"/>
    <x v="0"/>
    <x v="0"/>
  </r>
  <r>
    <s v="J5IMF7CN9K"/>
    <n v="6815322488"/>
    <n v="7606025640"/>
    <x v="2"/>
    <n v="271"/>
    <n v="0"/>
    <n v="271"/>
    <x v="9"/>
    <x v="98"/>
    <x v="1"/>
    <x v="2"/>
    <x v="1"/>
    <x v="4"/>
  </r>
  <r>
    <s v="ZXOBOP6L8H"/>
    <n v="6840073699"/>
    <n v="1821811106"/>
    <x v="1"/>
    <n v="389"/>
    <n v="389"/>
    <n v="0"/>
    <x v="5"/>
    <x v="66"/>
    <x v="0"/>
    <x v="0"/>
    <x v="0"/>
    <x v="0"/>
  </r>
  <r>
    <s v="PKT90UJDIT"/>
    <n v="4619260684"/>
    <n v="4792942047"/>
    <x v="4"/>
    <n v="441"/>
    <n v="261"/>
    <n v="180"/>
    <x v="5"/>
    <x v="30"/>
    <x v="2"/>
    <x v="2"/>
    <x v="2"/>
    <x v="6"/>
  </r>
  <r>
    <s v="OE9GPP394G"/>
    <n v="5109370902"/>
    <n v="6408465352"/>
    <x v="3"/>
    <n v="207"/>
    <n v="141"/>
    <n v="66"/>
    <x v="5"/>
    <x v="31"/>
    <x v="1"/>
    <x v="1"/>
    <x v="2"/>
    <x v="7"/>
  </r>
  <r>
    <s v="FL0J8P6V5C"/>
    <n v="7299770105"/>
    <n v="1515990361"/>
    <x v="3"/>
    <n v="377"/>
    <n v="0"/>
    <n v="377"/>
    <x v="3"/>
    <x v="45"/>
    <x v="1"/>
    <x v="1"/>
    <x v="1"/>
    <x v="6"/>
  </r>
  <r>
    <s v="AJSWRURY2W"/>
    <n v="7735616890"/>
    <n v="593571600"/>
    <x v="3"/>
    <n v="131"/>
    <n v="0"/>
    <n v="131"/>
    <x v="6"/>
    <x v="56"/>
    <x v="1"/>
    <x v="2"/>
    <x v="1"/>
    <x v="1"/>
  </r>
  <r>
    <s v="QCXU5JFFML"/>
    <n v="4857852547"/>
    <n v="4151838566"/>
    <x v="1"/>
    <n v="220"/>
    <n v="139"/>
    <n v="81"/>
    <x v="5"/>
    <x v="31"/>
    <x v="0"/>
    <x v="2"/>
    <x v="2"/>
    <x v="5"/>
  </r>
  <r>
    <s v="QNXVUM7OEE"/>
    <n v="1658141735"/>
    <n v="3762580864"/>
    <x v="0"/>
    <n v="149"/>
    <n v="149"/>
    <n v="0"/>
    <x v="7"/>
    <x v="23"/>
    <x v="1"/>
    <x v="0"/>
    <x v="0"/>
    <x v="0"/>
  </r>
  <r>
    <s v="8TKKLCD9PR"/>
    <n v="574419588"/>
    <n v="8681656419"/>
    <x v="0"/>
    <n v="484"/>
    <n v="0"/>
    <n v="484"/>
    <x v="6"/>
    <x v="37"/>
    <x v="0"/>
    <x v="2"/>
    <x v="1"/>
    <x v="1"/>
  </r>
  <r>
    <s v="JFAY9QX80C"/>
    <n v="7684326274"/>
    <n v="2091307587"/>
    <x v="2"/>
    <n v="267"/>
    <n v="165"/>
    <n v="102"/>
    <x v="1"/>
    <x v="31"/>
    <x v="2"/>
    <x v="1"/>
    <x v="2"/>
    <x v="1"/>
  </r>
  <r>
    <s v="ZMB1OUAPE0"/>
    <n v="1103203078"/>
    <n v="5742108610"/>
    <x v="0"/>
    <n v="422"/>
    <n v="422"/>
    <n v="0"/>
    <x v="6"/>
    <x v="26"/>
    <x v="1"/>
    <x v="0"/>
    <x v="0"/>
    <x v="0"/>
  </r>
  <r>
    <s v="11SI0FEVCZ"/>
    <n v="9401153941"/>
    <n v="1845151929"/>
    <x v="1"/>
    <n v="465"/>
    <n v="263"/>
    <n v="202"/>
    <x v="5"/>
    <x v="79"/>
    <x v="2"/>
    <x v="1"/>
    <x v="2"/>
    <x v="1"/>
  </r>
  <r>
    <s v="HPYXYHXRFU"/>
    <n v="9576814773"/>
    <n v="1371955993"/>
    <x v="2"/>
    <n v="203"/>
    <n v="203"/>
    <n v="0"/>
    <x v="3"/>
    <x v="82"/>
    <x v="2"/>
    <x v="1"/>
    <x v="0"/>
    <x v="6"/>
  </r>
  <r>
    <s v="OEZKXF81QT"/>
    <n v="547646649"/>
    <n v="297896800"/>
    <x v="1"/>
    <n v="249"/>
    <n v="249"/>
    <n v="0"/>
    <x v="5"/>
    <x v="83"/>
    <x v="0"/>
    <x v="2"/>
    <x v="0"/>
    <x v="3"/>
  </r>
  <r>
    <s v="ELQ4SHKJQC"/>
    <n v="6244693820"/>
    <n v="7997381350"/>
    <x v="4"/>
    <n v="302"/>
    <n v="302"/>
    <n v="0"/>
    <x v="6"/>
    <x v="11"/>
    <x v="1"/>
    <x v="0"/>
    <x v="0"/>
    <x v="0"/>
  </r>
  <r>
    <s v="WR6QACIBSK"/>
    <n v="6636473801"/>
    <n v="6871324728"/>
    <x v="2"/>
    <n v="252"/>
    <n v="252"/>
    <n v="0"/>
    <x v="0"/>
    <x v="49"/>
    <x v="1"/>
    <x v="0"/>
    <x v="0"/>
    <x v="0"/>
  </r>
  <r>
    <s v="T7QQCP7VMS"/>
    <n v="7487997281"/>
    <n v="8073709437"/>
    <x v="0"/>
    <n v="266"/>
    <n v="266"/>
    <n v="0"/>
    <x v="3"/>
    <x v="49"/>
    <x v="1"/>
    <x v="0"/>
    <x v="0"/>
    <x v="0"/>
  </r>
  <r>
    <s v="U9NZEK3R0Q"/>
    <n v="2381103413"/>
    <n v="5138512254"/>
    <x v="4"/>
    <n v="302"/>
    <n v="302"/>
    <n v="0"/>
    <x v="3"/>
    <x v="60"/>
    <x v="1"/>
    <x v="0"/>
    <x v="0"/>
    <x v="0"/>
  </r>
  <r>
    <s v="73DDTKF6VI"/>
    <n v="2739607699"/>
    <n v="865083685"/>
    <x v="3"/>
    <n v="279"/>
    <n v="279"/>
    <n v="0"/>
    <x v="4"/>
    <x v="87"/>
    <x v="0"/>
    <x v="0"/>
    <x v="0"/>
    <x v="0"/>
  </r>
  <r>
    <s v="DCV0WW72UZ"/>
    <n v="6930963861"/>
    <n v="1586436225"/>
    <x v="2"/>
    <n v="285"/>
    <n v="285"/>
    <n v="0"/>
    <x v="1"/>
    <x v="87"/>
    <x v="0"/>
    <x v="0"/>
    <x v="0"/>
    <x v="0"/>
  </r>
  <r>
    <s v="4T8C7S6CGX"/>
    <n v="8071174979"/>
    <n v="8913065384"/>
    <x v="3"/>
    <n v="494"/>
    <n v="329"/>
    <n v="165"/>
    <x v="9"/>
    <x v="81"/>
    <x v="1"/>
    <x v="1"/>
    <x v="2"/>
    <x v="2"/>
  </r>
  <r>
    <s v="ZZ05GR98P1"/>
    <n v="850408535"/>
    <n v="352442234"/>
    <x v="0"/>
    <n v="340"/>
    <n v="252"/>
    <n v="88"/>
    <x v="2"/>
    <x v="45"/>
    <x v="0"/>
    <x v="1"/>
    <x v="2"/>
    <x v="2"/>
  </r>
  <r>
    <s v="76O0SZ2HSH"/>
    <n v="101078306"/>
    <n v="1010446257"/>
    <x v="4"/>
    <n v="319"/>
    <n v="319"/>
    <n v="0"/>
    <x v="8"/>
    <x v="69"/>
    <x v="2"/>
    <x v="0"/>
    <x v="0"/>
    <x v="0"/>
  </r>
  <r>
    <s v="438ZIIBPK0"/>
    <n v="9449672524"/>
    <n v="2748517591"/>
    <x v="3"/>
    <n v="342"/>
    <n v="342"/>
    <n v="0"/>
    <x v="7"/>
    <x v="93"/>
    <x v="0"/>
    <x v="0"/>
    <x v="0"/>
    <x v="0"/>
  </r>
  <r>
    <s v="ZKM055X47Q"/>
    <n v="777717051"/>
    <n v="5639950479"/>
    <x v="2"/>
    <n v="190"/>
    <n v="118"/>
    <n v="72"/>
    <x v="8"/>
    <x v="23"/>
    <x v="2"/>
    <x v="1"/>
    <x v="2"/>
    <x v="2"/>
  </r>
  <r>
    <s v="6YM52JTHQL"/>
    <n v="2299991605"/>
    <n v="4493236409"/>
    <x v="1"/>
    <n v="263"/>
    <n v="263"/>
    <n v="0"/>
    <x v="3"/>
    <x v="29"/>
    <x v="2"/>
    <x v="0"/>
    <x v="0"/>
    <x v="0"/>
  </r>
  <r>
    <s v="8W8VWVFB7L"/>
    <n v="7451213698"/>
    <n v="51107760"/>
    <x v="0"/>
    <n v="226"/>
    <n v="226"/>
    <n v="0"/>
    <x v="3"/>
    <x v="97"/>
    <x v="2"/>
    <x v="0"/>
    <x v="0"/>
    <x v="0"/>
  </r>
  <r>
    <s v="HWYCF5V8TB"/>
    <n v="6674084062"/>
    <n v="5582873125"/>
    <x v="0"/>
    <n v="110"/>
    <n v="60"/>
    <n v="50"/>
    <x v="9"/>
    <x v="58"/>
    <x v="0"/>
    <x v="1"/>
    <x v="2"/>
    <x v="3"/>
  </r>
  <r>
    <s v="CHFEAB3MQG"/>
    <n v="8953574021"/>
    <n v="3217496209"/>
    <x v="3"/>
    <n v="389"/>
    <n v="0"/>
    <n v="389"/>
    <x v="4"/>
    <x v="4"/>
    <x v="2"/>
    <x v="2"/>
    <x v="1"/>
    <x v="3"/>
  </r>
  <r>
    <s v="PU7B1FLNO6"/>
    <n v="5293925593"/>
    <n v="8115607354"/>
    <x v="1"/>
    <n v="316"/>
    <n v="220"/>
    <n v="96"/>
    <x v="9"/>
    <x v="23"/>
    <x v="2"/>
    <x v="2"/>
    <x v="2"/>
    <x v="7"/>
  </r>
  <r>
    <s v="7B8G40OLQC"/>
    <n v="5637478076"/>
    <n v="9896596876"/>
    <x v="3"/>
    <n v="470"/>
    <n v="292"/>
    <n v="178"/>
    <x v="9"/>
    <x v="99"/>
    <x v="0"/>
    <x v="2"/>
    <x v="2"/>
    <x v="7"/>
  </r>
  <r>
    <s v="HC9LR7VEQS"/>
    <n v="100875317"/>
    <n v="2801508444"/>
    <x v="1"/>
    <n v="457"/>
    <n v="457"/>
    <n v="0"/>
    <x v="9"/>
    <x v="76"/>
    <x v="2"/>
    <x v="0"/>
    <x v="0"/>
    <x v="0"/>
  </r>
  <r>
    <s v="ZA95UNMKU8"/>
    <n v="2593506947"/>
    <n v="9604894690"/>
    <x v="0"/>
    <n v="405"/>
    <n v="244"/>
    <n v="161"/>
    <x v="8"/>
    <x v="43"/>
    <x v="0"/>
    <x v="2"/>
    <x v="2"/>
    <x v="2"/>
  </r>
  <r>
    <s v="1UEWHL36HO"/>
    <n v="5237318591"/>
    <n v="7845126855"/>
    <x v="2"/>
    <n v="113"/>
    <n v="113"/>
    <n v="0"/>
    <x v="8"/>
    <x v="86"/>
    <x v="2"/>
    <x v="0"/>
    <x v="0"/>
    <x v="0"/>
  </r>
  <r>
    <s v="IT4QQO03MM"/>
    <n v="6706520015"/>
    <n v="5069912817"/>
    <x v="3"/>
    <n v="490"/>
    <n v="490"/>
    <n v="0"/>
    <x v="9"/>
    <x v="14"/>
    <x v="2"/>
    <x v="0"/>
    <x v="0"/>
    <x v="0"/>
  </r>
  <r>
    <s v="IJL34MZGWZ"/>
    <n v="9478728735"/>
    <n v="4729586407"/>
    <x v="3"/>
    <n v="362"/>
    <n v="256"/>
    <n v="106"/>
    <x v="4"/>
    <x v="64"/>
    <x v="0"/>
    <x v="1"/>
    <x v="2"/>
    <x v="3"/>
  </r>
  <r>
    <s v="EJTBV2EDZJ"/>
    <n v="3887913057"/>
    <n v="7362879865"/>
    <x v="4"/>
    <n v="456"/>
    <n v="311"/>
    <n v="145"/>
    <x v="2"/>
    <x v="80"/>
    <x v="1"/>
    <x v="2"/>
    <x v="2"/>
    <x v="7"/>
  </r>
  <r>
    <s v="55LMBJCO73"/>
    <n v="60143630"/>
    <n v="1715505615"/>
    <x v="2"/>
    <n v="392"/>
    <n v="272"/>
    <n v="120"/>
    <x v="8"/>
    <x v="35"/>
    <x v="1"/>
    <x v="1"/>
    <x v="2"/>
    <x v="3"/>
  </r>
  <r>
    <s v="TAW8G9M0FI"/>
    <n v="210793628"/>
    <n v="6510178676"/>
    <x v="2"/>
    <n v="184"/>
    <n v="184"/>
    <n v="0"/>
    <x v="2"/>
    <x v="72"/>
    <x v="0"/>
    <x v="0"/>
    <x v="0"/>
    <x v="0"/>
  </r>
  <r>
    <s v="0AVY290QRF"/>
    <n v="8596021338"/>
    <n v="9234074892"/>
    <x v="3"/>
    <n v="233"/>
    <n v="233"/>
    <n v="0"/>
    <x v="4"/>
    <x v="22"/>
    <x v="2"/>
    <x v="2"/>
    <x v="0"/>
    <x v="4"/>
  </r>
  <r>
    <s v="VLSMLSXDZJ"/>
    <n v="3018575271"/>
    <n v="9455298"/>
    <x v="1"/>
    <n v="146"/>
    <n v="0"/>
    <n v="146"/>
    <x v="9"/>
    <x v="29"/>
    <x v="1"/>
    <x v="1"/>
    <x v="1"/>
    <x v="5"/>
  </r>
  <r>
    <s v="OG7KBY5XJ0"/>
    <n v="5007701903"/>
    <n v="1862927610"/>
    <x v="2"/>
    <n v="442"/>
    <n v="442"/>
    <n v="0"/>
    <x v="0"/>
    <x v="55"/>
    <x v="2"/>
    <x v="2"/>
    <x v="0"/>
    <x v="7"/>
  </r>
  <r>
    <s v="XIP1J1DOJA"/>
    <n v="1286000262"/>
    <n v="6430700396"/>
    <x v="2"/>
    <n v="470"/>
    <n v="470"/>
    <n v="0"/>
    <x v="1"/>
    <x v="28"/>
    <x v="1"/>
    <x v="1"/>
    <x v="0"/>
    <x v="2"/>
  </r>
  <r>
    <s v="0DOKC7VU2Z"/>
    <n v="2171841388"/>
    <n v="2913924485"/>
    <x v="2"/>
    <n v="272"/>
    <n v="272"/>
    <n v="0"/>
    <x v="5"/>
    <x v="88"/>
    <x v="0"/>
    <x v="2"/>
    <x v="0"/>
    <x v="7"/>
  </r>
  <r>
    <s v="AOJYLP8SSR"/>
    <n v="68556660"/>
    <n v="44413688"/>
    <x v="1"/>
    <n v="231"/>
    <n v="231"/>
    <n v="0"/>
    <x v="2"/>
    <x v="35"/>
    <x v="1"/>
    <x v="1"/>
    <x v="0"/>
    <x v="7"/>
  </r>
  <r>
    <s v="R1XPM19MUP"/>
    <n v="1017210774"/>
    <n v="6274414242"/>
    <x v="2"/>
    <n v="155"/>
    <n v="0"/>
    <n v="155"/>
    <x v="7"/>
    <x v="21"/>
    <x v="1"/>
    <x v="2"/>
    <x v="1"/>
    <x v="4"/>
  </r>
  <r>
    <s v="NHZOO9HJH4"/>
    <n v="5428644479"/>
    <n v="7625464006"/>
    <x v="4"/>
    <n v="189"/>
    <n v="189"/>
    <n v="0"/>
    <x v="7"/>
    <x v="0"/>
    <x v="0"/>
    <x v="1"/>
    <x v="0"/>
    <x v="7"/>
  </r>
  <r>
    <s v="9DIU004YOL"/>
    <n v="7809721760"/>
    <n v="2819227707"/>
    <x v="4"/>
    <n v="372"/>
    <n v="0"/>
    <n v="372"/>
    <x v="7"/>
    <x v="67"/>
    <x v="1"/>
    <x v="1"/>
    <x v="1"/>
    <x v="8"/>
  </r>
  <r>
    <s v="5A82KGOBPF"/>
    <n v="612830199"/>
    <n v="2524568194"/>
    <x v="1"/>
    <n v="319"/>
    <n v="223"/>
    <n v="96"/>
    <x v="9"/>
    <x v="18"/>
    <x v="1"/>
    <x v="1"/>
    <x v="2"/>
    <x v="4"/>
  </r>
  <r>
    <s v="3KP5OZ65GC"/>
    <n v="855109381"/>
    <n v="6685567071"/>
    <x v="4"/>
    <n v="318"/>
    <n v="318"/>
    <n v="0"/>
    <x v="4"/>
    <x v="55"/>
    <x v="2"/>
    <x v="0"/>
    <x v="0"/>
    <x v="0"/>
  </r>
  <r>
    <s v="LOB7KVTJ35"/>
    <n v="8911955455"/>
    <n v="4332730963"/>
    <x v="2"/>
    <n v="484"/>
    <n v="484"/>
    <n v="0"/>
    <x v="5"/>
    <x v="22"/>
    <x v="2"/>
    <x v="0"/>
    <x v="0"/>
    <x v="0"/>
  </r>
  <r>
    <s v="Q7M8419SA8"/>
    <n v="2552564104"/>
    <n v="7366680254"/>
    <x v="3"/>
    <n v="218"/>
    <n v="218"/>
    <n v="0"/>
    <x v="8"/>
    <x v="28"/>
    <x v="0"/>
    <x v="1"/>
    <x v="0"/>
    <x v="2"/>
  </r>
  <r>
    <s v="NM01V5LU6J"/>
    <n v="3573634156"/>
    <n v="2994357637"/>
    <x v="2"/>
    <n v="340"/>
    <n v="340"/>
    <n v="0"/>
    <x v="4"/>
    <x v="73"/>
    <x v="2"/>
    <x v="2"/>
    <x v="0"/>
    <x v="1"/>
  </r>
  <r>
    <s v="ICOL1ONOMG"/>
    <n v="4269876839"/>
    <n v="3180402684"/>
    <x v="1"/>
    <n v="387"/>
    <n v="387"/>
    <n v="0"/>
    <x v="2"/>
    <x v="37"/>
    <x v="1"/>
    <x v="0"/>
    <x v="0"/>
    <x v="0"/>
  </r>
  <r>
    <s v="W6SCZBTG0Q"/>
    <n v="3726785037"/>
    <n v="9159503894"/>
    <x v="0"/>
    <n v="231"/>
    <n v="0"/>
    <n v="231"/>
    <x v="4"/>
    <x v="3"/>
    <x v="0"/>
    <x v="2"/>
    <x v="1"/>
    <x v="2"/>
  </r>
  <r>
    <s v="ZRTBHH9DT9"/>
    <n v="7371628589"/>
    <n v="9549523843"/>
    <x v="0"/>
    <n v="334"/>
    <n v="0"/>
    <n v="334"/>
    <x v="4"/>
    <x v="88"/>
    <x v="2"/>
    <x v="2"/>
    <x v="1"/>
    <x v="2"/>
  </r>
  <r>
    <s v="297BH25GH1"/>
    <n v="394376347"/>
    <n v="4847749483"/>
    <x v="1"/>
    <n v="215"/>
    <n v="215"/>
    <n v="0"/>
    <x v="7"/>
    <x v="91"/>
    <x v="0"/>
    <x v="0"/>
    <x v="0"/>
    <x v="0"/>
  </r>
  <r>
    <s v="FX1FD4V4IK"/>
    <n v="2410229753"/>
    <n v="8889382304"/>
    <x v="3"/>
    <n v="140"/>
    <n v="0"/>
    <n v="140"/>
    <x v="0"/>
    <x v="8"/>
    <x v="0"/>
    <x v="2"/>
    <x v="1"/>
    <x v="7"/>
  </r>
  <r>
    <s v="N78AM81PG7"/>
    <n v="9184442440"/>
    <n v="6416013057"/>
    <x v="3"/>
    <n v="383"/>
    <n v="0"/>
    <n v="383"/>
    <x v="5"/>
    <x v="24"/>
    <x v="2"/>
    <x v="2"/>
    <x v="1"/>
    <x v="4"/>
  </r>
  <r>
    <s v="L9R69U9UWN"/>
    <n v="323121237"/>
    <n v="2811018929"/>
    <x v="4"/>
    <n v="289"/>
    <n v="289"/>
    <n v="0"/>
    <x v="7"/>
    <x v="3"/>
    <x v="0"/>
    <x v="0"/>
    <x v="0"/>
    <x v="0"/>
  </r>
  <r>
    <s v="X4GU1GZSFR"/>
    <n v="3585470974"/>
    <n v="5620689752"/>
    <x v="4"/>
    <n v="177"/>
    <n v="177"/>
    <n v="0"/>
    <x v="6"/>
    <x v="36"/>
    <x v="2"/>
    <x v="0"/>
    <x v="0"/>
    <x v="0"/>
  </r>
  <r>
    <s v="QNZ7GJQNXI"/>
    <n v="5318117827"/>
    <n v="8005073082"/>
    <x v="4"/>
    <n v="243"/>
    <n v="0"/>
    <n v="243"/>
    <x v="9"/>
    <x v="79"/>
    <x v="1"/>
    <x v="2"/>
    <x v="1"/>
    <x v="8"/>
  </r>
  <r>
    <s v="348CB2K06X"/>
    <n v="7988786793"/>
    <n v="8693145308"/>
    <x v="0"/>
    <n v="280"/>
    <n v="280"/>
    <n v="0"/>
    <x v="8"/>
    <x v="45"/>
    <x v="2"/>
    <x v="2"/>
    <x v="0"/>
    <x v="6"/>
  </r>
  <r>
    <s v="M5V1Q8VAFN"/>
    <n v="1625980232"/>
    <n v="7984928771"/>
    <x v="0"/>
    <n v="196"/>
    <n v="196"/>
    <n v="0"/>
    <x v="2"/>
    <x v="39"/>
    <x v="1"/>
    <x v="0"/>
    <x v="0"/>
    <x v="0"/>
  </r>
  <r>
    <s v="VGZCXGA88E"/>
    <n v="2252917045"/>
    <n v="8396644866"/>
    <x v="1"/>
    <n v="126"/>
    <n v="126"/>
    <n v="0"/>
    <x v="0"/>
    <x v="13"/>
    <x v="0"/>
    <x v="0"/>
    <x v="0"/>
    <x v="0"/>
  </r>
  <r>
    <s v="RAR75ZUNFZ"/>
    <n v="1249681569"/>
    <n v="9904134474"/>
    <x v="3"/>
    <n v="154"/>
    <n v="0"/>
    <n v="154"/>
    <x v="2"/>
    <x v="71"/>
    <x v="2"/>
    <x v="1"/>
    <x v="1"/>
    <x v="7"/>
  </r>
  <r>
    <s v="Q9FUEPK824"/>
    <n v="7576940660"/>
    <n v="7531029728"/>
    <x v="0"/>
    <n v="111"/>
    <n v="0"/>
    <n v="111"/>
    <x v="9"/>
    <x v="44"/>
    <x v="2"/>
    <x v="1"/>
    <x v="1"/>
    <x v="4"/>
  </r>
  <r>
    <s v="EUEQ7L2NXY"/>
    <n v="857885656"/>
    <n v="9457452499"/>
    <x v="1"/>
    <n v="232"/>
    <n v="0"/>
    <n v="232"/>
    <x v="4"/>
    <x v="3"/>
    <x v="2"/>
    <x v="1"/>
    <x v="1"/>
    <x v="5"/>
  </r>
  <r>
    <s v="YF4K5XY4T6"/>
    <n v="5673128834"/>
    <n v="2341545862"/>
    <x v="0"/>
    <n v="337"/>
    <n v="337"/>
    <n v="0"/>
    <x v="3"/>
    <x v="91"/>
    <x v="1"/>
    <x v="2"/>
    <x v="0"/>
    <x v="6"/>
  </r>
  <r>
    <s v="64BXHI5GEZ"/>
    <n v="6596054863"/>
    <n v="6385714360"/>
    <x v="1"/>
    <n v="368"/>
    <n v="368"/>
    <n v="0"/>
    <x v="6"/>
    <x v="88"/>
    <x v="1"/>
    <x v="0"/>
    <x v="0"/>
    <x v="0"/>
  </r>
  <r>
    <s v="95MSH5JUEO"/>
    <n v="9732826920"/>
    <n v="3450599574"/>
    <x v="1"/>
    <n v="325"/>
    <n v="0"/>
    <n v="325"/>
    <x v="0"/>
    <x v="55"/>
    <x v="1"/>
    <x v="1"/>
    <x v="1"/>
    <x v="3"/>
  </r>
  <r>
    <s v="AKGD3IWSN1"/>
    <n v="8550510442"/>
    <n v="5857603017"/>
    <x v="1"/>
    <n v="397"/>
    <n v="397"/>
    <n v="0"/>
    <x v="8"/>
    <x v="45"/>
    <x v="1"/>
    <x v="2"/>
    <x v="0"/>
    <x v="2"/>
  </r>
  <r>
    <s v="6SIY46K0JM"/>
    <n v="1301050188"/>
    <n v="6125533859"/>
    <x v="2"/>
    <n v="181"/>
    <n v="0"/>
    <n v="181"/>
    <x v="3"/>
    <x v="2"/>
    <x v="0"/>
    <x v="2"/>
    <x v="1"/>
    <x v="7"/>
  </r>
  <r>
    <s v="0B0TP89BQF"/>
    <n v="7640195037"/>
    <n v="6836887959"/>
    <x v="2"/>
    <n v="307"/>
    <n v="307"/>
    <n v="0"/>
    <x v="2"/>
    <x v="57"/>
    <x v="1"/>
    <x v="0"/>
    <x v="0"/>
    <x v="0"/>
  </r>
  <r>
    <s v="VVROAPZFFA"/>
    <n v="3378390045"/>
    <n v="8592277150"/>
    <x v="0"/>
    <n v="150"/>
    <n v="150"/>
    <n v="0"/>
    <x v="1"/>
    <x v="66"/>
    <x v="0"/>
    <x v="0"/>
    <x v="0"/>
    <x v="0"/>
  </r>
  <r>
    <s v="Q9J55DIMLR"/>
    <n v="2766789913"/>
    <n v="9757787667"/>
    <x v="1"/>
    <n v="128"/>
    <n v="128"/>
    <n v="0"/>
    <x v="0"/>
    <x v="9"/>
    <x v="0"/>
    <x v="0"/>
    <x v="0"/>
    <x v="0"/>
  </r>
  <r>
    <s v="531HVTDM18"/>
    <n v="1335890669"/>
    <n v="1995402912"/>
    <x v="2"/>
    <n v="178"/>
    <n v="0"/>
    <n v="178"/>
    <x v="1"/>
    <x v="68"/>
    <x v="2"/>
    <x v="1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C3902-300F-4213-8F6D-54812F799083}" name="PivotTable6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CPT Codes" colHeaderCaption="Month">
  <location ref="J44:O55" firstHeaderRow="1" firstDataRow="2" firstDataCol="1" rowPageCount="2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axis="axisRow" showAll="0" sortType="ascending">
      <items count="11">
        <item x="0"/>
        <item x="7"/>
        <item x="1"/>
        <item x="3"/>
        <item x="8"/>
        <item x="4"/>
        <item x="6"/>
        <item x="9"/>
        <item x="5"/>
        <item x="2"/>
        <item t="default"/>
      </items>
    </pivotField>
    <pivotField showAll="0"/>
    <pivotField showAll="0"/>
    <pivotField multipleItemSelectionAllowed="1" showAll="0">
      <items count="4">
        <item x="2"/>
        <item h="1" x="0"/>
        <item h="1" x="1"/>
        <item t="default"/>
      </items>
    </pivotField>
    <pivotField axis="axisPage" dataField="1" multipleItemSelectionAllowed="1" showAll="0">
      <items count="4">
        <item x="1"/>
        <item h="1" x="0"/>
        <item h="1" x="2"/>
        <item t="default"/>
      </items>
    </pivotField>
    <pivotField axis="axisPage" showAll="0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11" hier="-1"/>
    <pageField fld="12" item="2" hier="-1"/>
  </pageFields>
  <dataFields count="1">
    <dataField name="Number of Denial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2E329-12FD-4CF0-85B6-61FAA289DB20}" name="PivotTable12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Insurance Type" colHeaderCaption="Month">
  <location ref="J71:O75" firstHeaderRow="1" firstDataRow="2" firstDataCol="1" rowPageCount="2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 sortType="ascending">
      <items count="11">
        <item x="0"/>
        <item x="7"/>
        <item x="1"/>
        <item x="3"/>
        <item x="8"/>
        <item x="4"/>
        <item x="6"/>
        <item x="9"/>
        <item x="5"/>
        <item x="2"/>
        <item t="default"/>
      </items>
    </pivotField>
    <pivotField showAll="0" sortType="ascending">
      <items count="101">
        <item h="1" x="33"/>
        <item h="1" x="1"/>
        <item h="1" x="13"/>
        <item x="67"/>
        <item h="1" x="53"/>
        <item h="1" x="72"/>
        <item h="1" x="32"/>
        <item h="1" x="31"/>
        <item h="1" x="76"/>
        <item h="1" x="36"/>
        <item h="1" x="4"/>
        <item h="1" x="89"/>
        <item h="1" x="43"/>
        <item h="1" x="9"/>
        <item h="1" x="62"/>
        <item h="1" x="64"/>
        <item h="1" x="66"/>
        <item h="1" x="46"/>
        <item h="1" x="93"/>
        <item h="1" x="92"/>
        <item h="1" x="87"/>
        <item h="1" x="12"/>
        <item h="1" x="37"/>
        <item h="1" x="8"/>
        <item h="1" x="44"/>
        <item h="1" x="41"/>
        <item h="1" x="15"/>
        <item h="1" x="45"/>
        <item h="1" x="98"/>
        <item h="1" x="54"/>
        <item h="1" x="23"/>
        <item h="1" x="48"/>
        <item h="1" x="69"/>
        <item h="1" x="94"/>
        <item h="1" x="14"/>
        <item h="1" x="40"/>
        <item h="1" x="61"/>
        <item h="1" x="75"/>
        <item h="1" x="6"/>
        <item h="1" x="83"/>
        <item h="1" x="50"/>
        <item h="1" x="24"/>
        <item h="1" x="90"/>
        <item h="1" x="73"/>
        <item h="1" x="10"/>
        <item h="1" x="81"/>
        <item h="1" x="79"/>
        <item h="1" x="25"/>
        <item h="1" x="99"/>
        <item h="1" x="30"/>
        <item h="1" x="77"/>
        <item h="1" x="28"/>
        <item h="1" x="17"/>
        <item h="1" x="71"/>
        <item h="1" x="11"/>
        <item h="1" x="42"/>
        <item h="1" x="97"/>
        <item h="1" x="63"/>
        <item h="1" x="5"/>
        <item h="1" x="51"/>
        <item h="1" x="80"/>
        <item h="1" x="16"/>
        <item h="1" x="68"/>
        <item h="1" x="82"/>
        <item h="1" x="95"/>
        <item h="1" x="96"/>
        <item h="1" x="57"/>
        <item h="1" x="78"/>
        <item h="1" x="27"/>
        <item h="1" x="7"/>
        <item h="1" x="59"/>
        <item h="1" x="91"/>
        <item h="1" x="74"/>
        <item h="1" x="86"/>
        <item h="1" x="26"/>
        <item h="1" x="58"/>
        <item h="1" x="18"/>
        <item h="1" x="49"/>
        <item h="1" x="0"/>
        <item h="1" x="84"/>
        <item h="1" x="21"/>
        <item x="52"/>
        <item h="1" x="38"/>
        <item x="65"/>
        <item h="1" x="29"/>
        <item h="1" x="3"/>
        <item h="1" x="55"/>
        <item h="1" x="19"/>
        <item h="1" x="70"/>
        <item h="1" x="60"/>
        <item h="1" x="88"/>
        <item h="1" x="85"/>
        <item h="1" x="2"/>
        <item h="1" x="22"/>
        <item h="1" x="34"/>
        <item h="1" x="56"/>
        <item h="1" x="47"/>
        <item h="1" x="35"/>
        <item h="1" x="20"/>
        <item h="1" x="39"/>
        <item t="default"/>
      </items>
    </pivotField>
    <pivotField axis="axisRow" showAll="0">
      <items count="4">
        <item x="1"/>
        <item x="2"/>
        <item x="0"/>
        <item t="default"/>
      </items>
    </pivotField>
    <pivotField multipleItemSelectionAllowed="1" showAll="0">
      <items count="4">
        <item x="2"/>
        <item h="1" x="0"/>
        <item h="1" x="1"/>
        <item t="default"/>
      </items>
    </pivotField>
    <pivotField axis="axisPage" dataField="1" showAll="0">
      <items count="4">
        <item x="1"/>
        <item x="0"/>
        <item x="2"/>
        <item t="default"/>
      </items>
    </pivotField>
    <pivotField axis="axisPage" showAll="0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3">
    <i>
      <x/>
    </i>
    <i>
      <x v="1"/>
    </i>
    <i>
      <x v="2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11" item="0" hier="-1"/>
    <pageField fld="12" item="0" hier="-1"/>
  </pageFields>
  <dataFields count="1">
    <dataField name="Number of Denial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FBD9E-1BC9-4574-A45A-A65E7CA5342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im Status" colHeaderCaption="Month">
  <location ref="J3:P8" firstHeaderRow="1" firstDataRow="2" firstDataCol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Final Count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00A74-C114-47CE-B9F2-CC6FFB6AFDC4}" name="PivotTable5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CPT Codes" colHeaderCaption="Month">
  <location ref="B44:G55" firstHeaderRow="1" firstDataRow="2" firstDataCol="1" rowPageCount="2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axis="axisRow" showAll="0" sortType="ascending">
      <items count="11">
        <item x="0"/>
        <item x="7"/>
        <item x="1"/>
        <item x="3"/>
        <item x="8"/>
        <item x="4"/>
        <item x="6"/>
        <item x="9"/>
        <item x="5"/>
        <item x="2"/>
        <item t="default"/>
      </items>
    </pivotField>
    <pivotField showAll="0"/>
    <pivotField showAll="0"/>
    <pivotField axis="axisPage" dataField="1" multipleItemSelectionAllowed="1" showAll="0">
      <items count="4">
        <item x="2"/>
        <item h="1" x="0"/>
        <item h="1" x="1"/>
        <item t="default"/>
      </items>
    </pivotField>
    <pivotField multipleItemSelectionAllowed="1" showAll="0">
      <items count="4">
        <item x="1"/>
        <item h="1" x="0"/>
        <item x="2"/>
        <item t="default"/>
      </items>
    </pivotField>
    <pivotField axis="axisPage" showAll="0" sortType="descending">
      <items count="10">
        <item x="2"/>
        <item x="1"/>
        <item x="3"/>
        <item x="6"/>
        <item x="8"/>
        <item x="0"/>
        <item x="4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10" hier="-1"/>
    <pageField fld="12" item="2" hier="-1"/>
  </pageFields>
  <dataFields count="1">
    <dataField name="Number of Denial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F9B6A-3204-43D0-88EA-ADEC8AA3C686}" name="PivotTable7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ICD Codes" colHeaderCaption="Month">
  <location ref="B61:E65" firstHeaderRow="1" firstDataRow="2" firstDataCol="1" rowPageCount="2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 sortType="ascending">
      <items count="11">
        <item x="0"/>
        <item x="7"/>
        <item x="1"/>
        <item x="3"/>
        <item x="8"/>
        <item x="4"/>
        <item x="6"/>
        <item x="9"/>
        <item x="5"/>
        <item x="2"/>
        <item t="default"/>
      </items>
    </pivotField>
    <pivotField axis="axisRow" showAll="0" sortType="ascending">
      <items count="101">
        <item h="1" x="33"/>
        <item h="1" x="1"/>
        <item h="1" x="13"/>
        <item x="67"/>
        <item h="1" x="53"/>
        <item h="1" x="72"/>
        <item h="1" x="32"/>
        <item h="1" x="31"/>
        <item h="1" x="76"/>
        <item h="1" x="36"/>
        <item h="1" x="4"/>
        <item h="1" x="89"/>
        <item h="1" x="43"/>
        <item h="1" x="9"/>
        <item h="1" x="62"/>
        <item h="1" x="64"/>
        <item h="1" x="66"/>
        <item h="1" x="46"/>
        <item h="1" x="93"/>
        <item h="1" x="92"/>
        <item h="1" x="87"/>
        <item h="1" x="12"/>
        <item h="1" x="37"/>
        <item h="1" x="8"/>
        <item h="1" x="44"/>
        <item h="1" x="41"/>
        <item h="1" x="15"/>
        <item h="1" x="45"/>
        <item h="1" x="98"/>
        <item h="1" x="54"/>
        <item h="1" x="23"/>
        <item h="1" x="48"/>
        <item h="1" x="69"/>
        <item h="1" x="94"/>
        <item h="1" x="14"/>
        <item h="1" x="40"/>
        <item h="1" x="61"/>
        <item h="1" x="75"/>
        <item h="1" x="6"/>
        <item h="1" x="83"/>
        <item h="1" x="50"/>
        <item h="1" x="24"/>
        <item h="1" x="90"/>
        <item h="1" x="73"/>
        <item h="1" x="10"/>
        <item h="1" x="81"/>
        <item h="1" x="79"/>
        <item h="1" x="25"/>
        <item h="1" x="99"/>
        <item h="1" x="30"/>
        <item h="1" x="77"/>
        <item h="1" x="28"/>
        <item h="1" x="17"/>
        <item h="1" x="71"/>
        <item h="1" x="11"/>
        <item h="1" x="42"/>
        <item h="1" x="97"/>
        <item h="1" x="63"/>
        <item h="1" x="5"/>
        <item h="1" x="51"/>
        <item h="1" x="80"/>
        <item h="1" x="16"/>
        <item h="1" x="68"/>
        <item h="1" x="82"/>
        <item h="1" x="95"/>
        <item h="1" x="96"/>
        <item h="1" x="57"/>
        <item h="1" x="78"/>
        <item h="1" x="27"/>
        <item h="1" x="7"/>
        <item h="1" x="59"/>
        <item h="1" x="91"/>
        <item h="1" x="74"/>
        <item h="1" x="86"/>
        <item h="1" x="26"/>
        <item h="1" x="58"/>
        <item h="1" x="18"/>
        <item h="1" x="49"/>
        <item h="1" x="0"/>
        <item h="1" x="84"/>
        <item h="1" x="21"/>
        <item x="52"/>
        <item h="1" x="38"/>
        <item x="65"/>
        <item h="1" x="29"/>
        <item h="1" x="3"/>
        <item h="1" x="55"/>
        <item h="1" x="19"/>
        <item h="1" x="70"/>
        <item h="1" x="60"/>
        <item h="1" x="88"/>
        <item h="1" x="85"/>
        <item h="1" x="2"/>
        <item h="1" x="22"/>
        <item h="1" x="34"/>
        <item h="1" x="56"/>
        <item h="1" x="47"/>
        <item h="1" x="35"/>
        <item h="1" x="20"/>
        <item h="1" x="39"/>
        <item t="default"/>
      </items>
    </pivotField>
    <pivotField showAll="0"/>
    <pivotField axis="axisPage" dataField="1" multipleItemSelectionAllowed="1" showAll="0">
      <items count="4">
        <item x="2"/>
        <item h="1" x="0"/>
        <item h="1" x="1"/>
        <item t="default"/>
      </items>
    </pivotField>
    <pivotField multipleItemSelectionAllowed="1" showAll="0">
      <items count="4">
        <item x="1"/>
        <item h="1" x="0"/>
        <item x="2"/>
        <item t="default"/>
      </items>
    </pivotField>
    <pivotField axis="axisPage" showAll="0" sortType="descending">
      <items count="10">
        <item x="2"/>
        <item x="1"/>
        <item x="3"/>
        <item x="6"/>
        <item x="8"/>
        <item x="0"/>
        <item x="4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3">
    <i>
      <x v="3"/>
    </i>
    <i>
      <x v="81"/>
    </i>
    <i>
      <x v="83"/>
    </i>
  </rowItems>
  <colFields count="1">
    <field x="3"/>
  </colFields>
  <colItems count="3">
    <i>
      <x/>
    </i>
    <i>
      <x v="2"/>
    </i>
    <i>
      <x v="3"/>
    </i>
  </colItems>
  <pageFields count="2">
    <pageField fld="10" hier="-1"/>
    <pageField fld="12" item="2" hier="-1"/>
  </pageFields>
  <dataFields count="1">
    <dataField name="Number of Denials" fld="10" subtotal="count" baseField="0" baseItem="0"/>
  </dataFields>
  <formats count="5">
    <format dxfId="7">
      <pivotArea dataOnly="0" fieldPosition="0">
        <references count="1">
          <reference field="8" count="1">
            <x v="3"/>
          </reference>
        </references>
      </pivotArea>
    </format>
    <format dxfId="6">
      <pivotArea dataOnly="0" fieldPosition="0">
        <references count="1">
          <reference field="8" count="1">
            <x v="92"/>
          </reference>
        </references>
      </pivotArea>
    </format>
    <format dxfId="5">
      <pivotArea dataOnly="0" fieldPosition="0">
        <references count="1">
          <reference field="8" count="1">
            <x v="93"/>
          </reference>
        </references>
      </pivotArea>
    </format>
    <format dxfId="4">
      <pivotArea dataOnly="0" fieldPosition="0">
        <references count="2">
          <reference field="8" count="1">
            <x v="92"/>
          </reference>
          <reference field="12" count="1" selected="0">
            <x v="2"/>
          </reference>
        </references>
      </pivotArea>
    </format>
    <format dxfId="3">
      <pivotArea dataOnly="0" fieldPosition="0">
        <references count="2">
          <reference field="8" count="1">
            <x v="3"/>
          </reference>
          <reference field="1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1A801-410B-4902-8008-77C38AE90368}" name="PivotTable2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nth" colHeaderCaption="Month">
  <location ref="B16:C21" firstHeaderRow="1" firstDataRow="1" firstDataCol="1"/>
  <pivotFields count="15"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dataField="1" numFmtId="165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Remaining Balance" fld="6" baseField="3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3D2DF-2CF4-4666-A1B1-3E1E8C512A68}" name="PivotTable11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Insurance Type" colHeaderCaption="Month">
  <location ref="B80:G84" firstHeaderRow="1" firstDataRow="2" firstDataCol="1" rowPageCount="2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 sortType="ascending">
      <items count="11">
        <item x="0"/>
        <item x="7"/>
        <item x="1"/>
        <item x="3"/>
        <item x="8"/>
        <item x="4"/>
        <item x="6"/>
        <item x="9"/>
        <item x="5"/>
        <item x="2"/>
        <item t="default"/>
      </items>
    </pivotField>
    <pivotField showAll="0" sortType="ascending">
      <items count="101">
        <item h="1" x="33"/>
        <item h="1" x="1"/>
        <item h="1" x="13"/>
        <item x="67"/>
        <item h="1" x="53"/>
        <item h="1" x="72"/>
        <item h="1" x="32"/>
        <item h="1" x="31"/>
        <item h="1" x="76"/>
        <item h="1" x="36"/>
        <item h="1" x="4"/>
        <item h="1" x="89"/>
        <item h="1" x="43"/>
        <item h="1" x="9"/>
        <item h="1" x="62"/>
        <item h="1" x="64"/>
        <item h="1" x="66"/>
        <item h="1" x="46"/>
        <item h="1" x="93"/>
        <item h="1" x="92"/>
        <item h="1" x="87"/>
        <item h="1" x="12"/>
        <item h="1" x="37"/>
        <item h="1" x="8"/>
        <item h="1" x="44"/>
        <item h="1" x="41"/>
        <item h="1" x="15"/>
        <item h="1" x="45"/>
        <item h="1" x="98"/>
        <item h="1" x="54"/>
        <item h="1" x="23"/>
        <item h="1" x="48"/>
        <item h="1" x="69"/>
        <item h="1" x="94"/>
        <item h="1" x="14"/>
        <item h="1" x="40"/>
        <item h="1" x="61"/>
        <item h="1" x="75"/>
        <item h="1" x="6"/>
        <item h="1" x="83"/>
        <item h="1" x="50"/>
        <item h="1" x="24"/>
        <item h="1" x="90"/>
        <item h="1" x="73"/>
        <item h="1" x="10"/>
        <item h="1" x="81"/>
        <item h="1" x="79"/>
        <item h="1" x="25"/>
        <item h="1" x="99"/>
        <item h="1" x="30"/>
        <item h="1" x="77"/>
        <item h="1" x="28"/>
        <item h="1" x="17"/>
        <item h="1" x="71"/>
        <item h="1" x="11"/>
        <item h="1" x="42"/>
        <item h="1" x="97"/>
        <item h="1" x="63"/>
        <item h="1" x="5"/>
        <item h="1" x="51"/>
        <item h="1" x="80"/>
        <item h="1" x="16"/>
        <item h="1" x="68"/>
        <item h="1" x="82"/>
        <item h="1" x="95"/>
        <item h="1" x="96"/>
        <item h="1" x="57"/>
        <item h="1" x="78"/>
        <item h="1" x="27"/>
        <item h="1" x="7"/>
        <item h="1" x="59"/>
        <item h="1" x="91"/>
        <item h="1" x="74"/>
        <item h="1" x="86"/>
        <item h="1" x="26"/>
        <item h="1" x="58"/>
        <item h="1" x="18"/>
        <item h="1" x="49"/>
        <item h="1" x="0"/>
        <item h="1" x="84"/>
        <item h="1" x="21"/>
        <item x="52"/>
        <item h="1" x="38"/>
        <item x="65"/>
        <item h="1" x="29"/>
        <item h="1" x="3"/>
        <item h="1" x="55"/>
        <item h="1" x="19"/>
        <item h="1" x="70"/>
        <item h="1" x="60"/>
        <item h="1" x="88"/>
        <item h="1" x="85"/>
        <item h="1" x="2"/>
        <item h="1" x="22"/>
        <item h="1" x="34"/>
        <item h="1" x="56"/>
        <item h="1" x="47"/>
        <item h="1" x="35"/>
        <item h="1" x="20"/>
        <item h="1" x="39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Page" dataField="1" multipleItemSelectionAllowed="1" showAll="0">
      <items count="4">
        <item x="2"/>
        <item h="1" x="0"/>
        <item h="1" x="1"/>
        <item t="default"/>
      </items>
    </pivotField>
    <pivotField multipleItemSelectionAllowed="1" showAll="0">
      <items count="4">
        <item x="1"/>
        <item h="1" x="0"/>
        <item x="2"/>
        <item t="default"/>
      </items>
    </pivotField>
    <pivotField axis="axisPage" showAll="0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3">
    <i>
      <x/>
    </i>
    <i>
      <x v="1"/>
    </i>
    <i>
      <x v="2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10" hier="-1"/>
    <pageField fld="12" item="6" hier="-1"/>
  </pageFields>
  <dataFields count="1">
    <dataField name="Number of Denial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293CD-6FCD-4EF9-9B8D-2894E473B485}" name="PivotTable9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ICD Codes" colHeaderCaption="Month">
  <location ref="G61:I65" firstHeaderRow="1" firstDataRow="2" firstDataCol="1" rowPageCount="2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 sortType="ascending">
      <items count="11">
        <item x="0"/>
        <item x="7"/>
        <item x="1"/>
        <item x="3"/>
        <item x="8"/>
        <item x="4"/>
        <item x="6"/>
        <item x="9"/>
        <item x="5"/>
        <item x="2"/>
        <item t="default"/>
      </items>
    </pivotField>
    <pivotField axis="axisRow" showAll="0" sortType="ascending">
      <items count="101">
        <item h="1" x="33"/>
        <item h="1" x="1"/>
        <item h="1" x="13"/>
        <item x="67"/>
        <item h="1" x="53"/>
        <item h="1" x="72"/>
        <item h="1" x="32"/>
        <item h="1" x="31"/>
        <item h="1" x="76"/>
        <item h="1" x="36"/>
        <item h="1" x="4"/>
        <item h="1" x="89"/>
        <item h="1" x="43"/>
        <item h="1" x="9"/>
        <item h="1" x="62"/>
        <item h="1" x="64"/>
        <item h="1" x="66"/>
        <item h="1" x="46"/>
        <item h="1" x="93"/>
        <item h="1" x="92"/>
        <item h="1" x="87"/>
        <item h="1" x="12"/>
        <item h="1" x="37"/>
        <item h="1" x="8"/>
        <item h="1" x="44"/>
        <item h="1" x="41"/>
        <item h="1" x="15"/>
        <item h="1" x="45"/>
        <item h="1" x="98"/>
        <item h="1" x="54"/>
        <item h="1" x="23"/>
        <item h="1" x="48"/>
        <item h="1" x="69"/>
        <item h="1" x="94"/>
        <item h="1" x="14"/>
        <item h="1" x="40"/>
        <item h="1" x="61"/>
        <item h="1" x="75"/>
        <item h="1" x="6"/>
        <item h="1" x="83"/>
        <item h="1" x="50"/>
        <item h="1" x="24"/>
        <item h="1" x="90"/>
        <item h="1" x="73"/>
        <item x="10"/>
        <item h="1" x="81"/>
        <item h="1" x="79"/>
        <item h="1" x="25"/>
        <item h="1" x="99"/>
        <item h="1" x="30"/>
        <item h="1" x="77"/>
        <item h="1" x="28"/>
        <item h="1" x="17"/>
        <item x="71"/>
        <item h="1" x="11"/>
        <item h="1" x="42"/>
        <item h="1" x="97"/>
        <item h="1" x="63"/>
        <item h="1" x="5"/>
        <item h="1" x="51"/>
        <item h="1" x="80"/>
        <item h="1" x="16"/>
        <item h="1" x="68"/>
        <item h="1" x="82"/>
        <item h="1" x="95"/>
        <item h="1" x="96"/>
        <item h="1" x="57"/>
        <item h="1" x="78"/>
        <item h="1" x="27"/>
        <item h="1" x="7"/>
        <item h="1" x="59"/>
        <item h="1" x="91"/>
        <item h="1" x="74"/>
        <item h="1" x="86"/>
        <item h="1" x="26"/>
        <item h="1" x="58"/>
        <item h="1" x="18"/>
        <item h="1" x="49"/>
        <item h="1" x="0"/>
        <item h="1" x="84"/>
        <item x="21"/>
        <item x="52"/>
        <item h="1" x="38"/>
        <item x="65"/>
        <item h="1" x="29"/>
        <item x="3"/>
        <item h="1" x="55"/>
        <item h="1" x="19"/>
        <item h="1" x="70"/>
        <item h="1" x="60"/>
        <item h="1" x="88"/>
        <item h="1" x="85"/>
        <item x="2"/>
        <item x="22"/>
        <item h="1" x="34"/>
        <item h="1" x="56"/>
        <item h="1" x="47"/>
        <item h="1" x="35"/>
        <item h="1" x="20"/>
        <item x="39"/>
        <item t="default"/>
      </items>
    </pivotField>
    <pivotField showAll="0"/>
    <pivotField multipleItemSelectionAllowed="1" showAll="0">
      <items count="4">
        <item x="2"/>
        <item h="1" x="0"/>
        <item h="1" x="1"/>
        <item t="default"/>
      </items>
    </pivotField>
    <pivotField axis="axisPage" dataField="1" multipleItemSelectionAllowed="1" showAll="0">
      <items count="4">
        <item x="1"/>
        <item h="1" x="0"/>
        <item h="1" x="2"/>
        <item t="default"/>
      </items>
    </pivotField>
    <pivotField axis="axisPage" showAll="0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3">
    <i>
      <x v="3"/>
    </i>
    <i>
      <x v="81"/>
    </i>
    <i>
      <x v="83"/>
    </i>
  </rowItems>
  <colFields count="1">
    <field x="3"/>
  </colFields>
  <colItems count="2">
    <i>
      <x/>
    </i>
    <i>
      <x v="3"/>
    </i>
  </colItems>
  <pageFields count="2">
    <pageField fld="11" hier="-1"/>
    <pageField fld="12" item="2" hier="-1"/>
  </pageFields>
  <dataFields count="1">
    <dataField name="Number of Denials" fld="11" subtotal="count" baseField="0" baseItem="0"/>
  </dataFields>
  <formats count="3">
    <format dxfId="10">
      <pivotArea dataOnly="0" fieldPosition="0">
        <references count="1">
          <reference field="8" count="1">
            <x v="3"/>
          </reference>
        </references>
      </pivotArea>
    </format>
    <format dxfId="9">
      <pivotArea dataOnly="0" fieldPosition="0">
        <references count="1">
          <reference field="8" count="1">
            <x v="93"/>
          </reference>
        </references>
      </pivotArea>
    </format>
    <format dxfId="8">
      <pivotArea dataOnly="0" fieldPosition="0">
        <references count="1">
          <reference field="8" count="1">
            <x v="9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B2E10-C063-4D10-9A60-93ABE73218AA}" name="PivotTable3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Reason Codes" colHeaderCaption="Month">
  <location ref="J28:O37" firstHeaderRow="1" firstDataRow="2" firstDataCol="1" rowPageCount="1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/>
    <pivotField showAll="0"/>
    <pivotField showAll="0"/>
    <pivotField multipleItemSelectionAllowed="1" showAll="0">
      <items count="4">
        <item x="2"/>
        <item h="1" x="0"/>
        <item x="1"/>
        <item t="default"/>
      </items>
    </pivotField>
    <pivotField axis="axisPage" dataField="1" multipleItemSelectionAllowed="1" showAll="0">
      <items count="4">
        <item x="1"/>
        <item h="1" x="0"/>
        <item h="1" x="2"/>
        <item t="default"/>
      </items>
    </pivotField>
    <pivotField axis="axisRow" showAll="0" sortType="ascending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>
      <x v="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1">
    <pageField fld="11" hier="-1"/>
  </pageFields>
  <dataFields count="1">
    <dataField name="Number of Denials" fld="11" subtotal="count" baseField="12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AFC05-E442-4520-953F-02A0D70316C0}" name="PivotTable10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Insurance Type" colHeaderCaption="Month">
  <location ref="B71:G75" firstHeaderRow="1" firstDataRow="2" firstDataCol="1" rowPageCount="2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 sortType="ascending">
      <items count="11">
        <item x="0"/>
        <item x="7"/>
        <item x="1"/>
        <item x="3"/>
        <item x="8"/>
        <item x="4"/>
        <item x="6"/>
        <item x="9"/>
        <item x="5"/>
        <item x="2"/>
        <item t="default"/>
      </items>
    </pivotField>
    <pivotField showAll="0" sortType="ascending">
      <items count="101">
        <item h="1" x="33"/>
        <item h="1" x="1"/>
        <item h="1" x="13"/>
        <item x="67"/>
        <item h="1" x="53"/>
        <item h="1" x="72"/>
        <item h="1" x="32"/>
        <item h="1" x="31"/>
        <item h="1" x="76"/>
        <item h="1" x="36"/>
        <item h="1" x="4"/>
        <item h="1" x="89"/>
        <item h="1" x="43"/>
        <item h="1" x="9"/>
        <item h="1" x="62"/>
        <item h="1" x="64"/>
        <item h="1" x="66"/>
        <item h="1" x="46"/>
        <item h="1" x="93"/>
        <item h="1" x="92"/>
        <item h="1" x="87"/>
        <item h="1" x="12"/>
        <item h="1" x="37"/>
        <item h="1" x="8"/>
        <item h="1" x="44"/>
        <item h="1" x="41"/>
        <item h="1" x="15"/>
        <item h="1" x="45"/>
        <item h="1" x="98"/>
        <item h="1" x="54"/>
        <item h="1" x="23"/>
        <item h="1" x="48"/>
        <item h="1" x="69"/>
        <item h="1" x="94"/>
        <item h="1" x="14"/>
        <item h="1" x="40"/>
        <item h="1" x="61"/>
        <item h="1" x="75"/>
        <item h="1" x="6"/>
        <item h="1" x="83"/>
        <item h="1" x="50"/>
        <item h="1" x="24"/>
        <item h="1" x="90"/>
        <item h="1" x="73"/>
        <item h="1" x="10"/>
        <item h="1" x="81"/>
        <item h="1" x="79"/>
        <item h="1" x="25"/>
        <item h="1" x="99"/>
        <item h="1" x="30"/>
        <item h="1" x="77"/>
        <item h="1" x="28"/>
        <item h="1" x="17"/>
        <item h="1" x="71"/>
        <item h="1" x="11"/>
        <item h="1" x="42"/>
        <item h="1" x="97"/>
        <item h="1" x="63"/>
        <item h="1" x="5"/>
        <item h="1" x="51"/>
        <item h="1" x="80"/>
        <item h="1" x="16"/>
        <item h="1" x="68"/>
        <item h="1" x="82"/>
        <item h="1" x="95"/>
        <item h="1" x="96"/>
        <item h="1" x="57"/>
        <item h="1" x="78"/>
        <item h="1" x="27"/>
        <item h="1" x="7"/>
        <item h="1" x="59"/>
        <item h="1" x="91"/>
        <item h="1" x="74"/>
        <item h="1" x="86"/>
        <item h="1" x="26"/>
        <item h="1" x="58"/>
        <item h="1" x="18"/>
        <item h="1" x="49"/>
        <item h="1" x="0"/>
        <item h="1" x="84"/>
        <item h="1" x="21"/>
        <item x="52"/>
        <item h="1" x="38"/>
        <item x="65"/>
        <item h="1" x="29"/>
        <item h="1" x="3"/>
        <item h="1" x="55"/>
        <item h="1" x="19"/>
        <item h="1" x="70"/>
        <item h="1" x="60"/>
        <item h="1" x="88"/>
        <item h="1" x="85"/>
        <item h="1" x="2"/>
        <item h="1" x="22"/>
        <item h="1" x="34"/>
        <item h="1" x="56"/>
        <item h="1" x="47"/>
        <item h="1" x="35"/>
        <item h="1" x="20"/>
        <item h="1" x="39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Page" dataField="1" multipleItemSelectionAllowed="1" showAll="0">
      <items count="4">
        <item x="2"/>
        <item h="1" x="0"/>
        <item h="1" x="1"/>
        <item t="default"/>
      </items>
    </pivotField>
    <pivotField multipleItemSelectionAllowed="1" showAll="0">
      <items count="4">
        <item x="1"/>
        <item h="1" x="0"/>
        <item x="2"/>
        <item t="default"/>
      </items>
    </pivotField>
    <pivotField axis="axisPage" showAll="0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3">
    <i>
      <x/>
    </i>
    <i>
      <x v="1"/>
    </i>
    <i>
      <x v="2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10" hier="-1"/>
    <pageField fld="12" item="0" hier="-1"/>
  </pageFields>
  <dataFields count="1">
    <dataField name="Number of Denial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2A6E4-F2A1-4D19-B3A0-39338991567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im Status" colHeaderCaption="Month">
  <location ref="B3:H8" firstHeaderRow="1" firstDataRow="2" firstDataCol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Initial Count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880BE-0783-4A43-9821-8CE08CD4B14B}" name="PivotTable13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Insurance Type" colHeaderCaption="Month">
  <location ref="J80:O84" firstHeaderRow="1" firstDataRow="2" firstDataCol="1" rowPageCount="2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 sortType="ascending">
      <items count="11">
        <item x="0"/>
        <item x="7"/>
        <item x="1"/>
        <item x="3"/>
        <item x="8"/>
        <item x="4"/>
        <item x="6"/>
        <item x="9"/>
        <item x="5"/>
        <item x="2"/>
        <item t="default"/>
      </items>
    </pivotField>
    <pivotField showAll="0" sortType="ascending">
      <items count="101">
        <item h="1" x="33"/>
        <item h="1" x="1"/>
        <item h="1" x="13"/>
        <item x="67"/>
        <item h="1" x="53"/>
        <item h="1" x="72"/>
        <item h="1" x="32"/>
        <item h="1" x="31"/>
        <item h="1" x="76"/>
        <item h="1" x="36"/>
        <item h="1" x="4"/>
        <item h="1" x="89"/>
        <item h="1" x="43"/>
        <item h="1" x="9"/>
        <item h="1" x="62"/>
        <item h="1" x="64"/>
        <item h="1" x="66"/>
        <item h="1" x="46"/>
        <item h="1" x="93"/>
        <item h="1" x="92"/>
        <item h="1" x="87"/>
        <item h="1" x="12"/>
        <item h="1" x="37"/>
        <item h="1" x="8"/>
        <item h="1" x="44"/>
        <item h="1" x="41"/>
        <item h="1" x="15"/>
        <item h="1" x="45"/>
        <item h="1" x="98"/>
        <item h="1" x="54"/>
        <item h="1" x="23"/>
        <item h="1" x="48"/>
        <item h="1" x="69"/>
        <item h="1" x="94"/>
        <item h="1" x="14"/>
        <item h="1" x="40"/>
        <item h="1" x="61"/>
        <item h="1" x="75"/>
        <item h="1" x="6"/>
        <item h="1" x="83"/>
        <item h="1" x="50"/>
        <item h="1" x="24"/>
        <item h="1" x="90"/>
        <item h="1" x="73"/>
        <item h="1" x="10"/>
        <item h="1" x="81"/>
        <item h="1" x="79"/>
        <item h="1" x="25"/>
        <item h="1" x="99"/>
        <item h="1" x="30"/>
        <item h="1" x="77"/>
        <item h="1" x="28"/>
        <item h="1" x="17"/>
        <item h="1" x="71"/>
        <item h="1" x="11"/>
        <item h="1" x="42"/>
        <item h="1" x="97"/>
        <item h="1" x="63"/>
        <item h="1" x="5"/>
        <item h="1" x="51"/>
        <item h="1" x="80"/>
        <item h="1" x="16"/>
        <item h="1" x="68"/>
        <item h="1" x="82"/>
        <item h="1" x="95"/>
        <item h="1" x="96"/>
        <item h="1" x="57"/>
        <item h="1" x="78"/>
        <item h="1" x="27"/>
        <item h="1" x="7"/>
        <item h="1" x="59"/>
        <item h="1" x="91"/>
        <item h="1" x="74"/>
        <item h="1" x="86"/>
        <item h="1" x="26"/>
        <item h="1" x="58"/>
        <item h="1" x="18"/>
        <item h="1" x="49"/>
        <item h="1" x="0"/>
        <item h="1" x="84"/>
        <item h="1" x="21"/>
        <item x="52"/>
        <item h="1" x="38"/>
        <item x="65"/>
        <item h="1" x="29"/>
        <item h="1" x="3"/>
        <item h="1" x="55"/>
        <item h="1" x="19"/>
        <item h="1" x="70"/>
        <item h="1" x="60"/>
        <item h="1" x="88"/>
        <item h="1" x="85"/>
        <item h="1" x="2"/>
        <item h="1" x="22"/>
        <item h="1" x="34"/>
        <item h="1" x="56"/>
        <item h="1" x="47"/>
        <item h="1" x="35"/>
        <item h="1" x="20"/>
        <item h="1" x="39"/>
        <item t="default"/>
      </items>
    </pivotField>
    <pivotField axis="axisRow" showAll="0">
      <items count="4">
        <item x="1"/>
        <item x="2"/>
        <item x="0"/>
        <item t="default"/>
      </items>
    </pivotField>
    <pivotField multipleItemSelectionAllowed="1" showAll="0">
      <items count="4">
        <item x="2"/>
        <item h="1" x="0"/>
        <item h="1" x="1"/>
        <item t="default"/>
      </items>
    </pivotField>
    <pivotField axis="axisPage" dataField="1" showAll="0">
      <items count="4">
        <item x="1"/>
        <item x="0"/>
        <item x="2"/>
        <item t="default"/>
      </items>
    </pivotField>
    <pivotField axis="axisPage" showAll="0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3">
    <i>
      <x/>
    </i>
    <i>
      <x v="1"/>
    </i>
    <i>
      <x v="2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11" item="0" hier="-1"/>
    <pageField fld="12" item="6" hier="-1"/>
  </pageFields>
  <dataFields count="1">
    <dataField name="Number of Denial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FBF1D-9D55-43D6-8069-262071E09111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chartFormat="2" rowHeaderCaption="Reason Codes" colHeaderCaption="Month">
  <location ref="B28:G37" firstHeaderRow="1" firstDataRow="2" firstDataCol="1" rowPageCount="1" colPageCount="1"/>
  <pivotFields count="15"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numFmtId="165" showAll="0"/>
    <pivotField numFmtId="165" showAll="0"/>
    <pivotField showAll="0"/>
    <pivotField showAll="0"/>
    <pivotField showAll="0"/>
    <pivotField axis="axisPage" dataField="1" multipleItemSelectionAllowed="1" showAll="0">
      <items count="4">
        <item x="2"/>
        <item h="1" x="0"/>
        <item h="1" x="1"/>
        <item t="default"/>
      </items>
    </pivotField>
    <pivotField multipleItemSelectionAllowed="1" showAll="0">
      <items count="4">
        <item x="1"/>
        <item h="1" x="0"/>
        <item x="2"/>
        <item t="default"/>
      </items>
    </pivotField>
    <pivotField axis="axisRow" showAll="0" sortType="ascending">
      <items count="10">
        <item x="2"/>
        <item x="1"/>
        <item x="3"/>
        <item x="6"/>
        <item x="8"/>
        <item x="0"/>
        <item x="4"/>
        <item x="5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>
      <x v="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1">
    <pageField fld="10" hier="-1"/>
  </pageFields>
  <dataFields count="1">
    <dataField name="Number of Denials" fld="10" subtotal="count" baseField="0" baseItem="0"/>
  </dataFields>
  <formats count="1">
    <format dxfId="11">
      <pivotArea dataOnly="0" labelOnly="1" fieldPosition="0">
        <references count="1">
          <reference field="3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D7CB54-DC15-4C13-B5F9-E8E037AB4B68}" autoFormatId="16" applyNumberFormats="0" applyBorderFormats="0" applyFontFormats="0" applyPatternFormats="0" applyAlignmentFormats="0" applyWidthHeightFormats="0">
  <queryTableRefresh nextId="22">
    <queryTableFields count="13">
      <queryTableField id="1" name="Claim ID" tableColumnId="1"/>
      <queryTableField id="2" name="Provider ID" tableColumnId="2"/>
      <queryTableField id="3" name="Patient ID" tableColumnId="3"/>
      <queryTableField id="4" name="Month" tableColumnId="4"/>
      <queryTableField id="5" name="Billed Amount" tableColumnId="5"/>
      <queryTableField id="11" name="Paid Amount" tableColumnId="11"/>
      <queryTableField id="15" name="Remaining Balance" tableColumnId="14"/>
      <queryTableField id="6" name="Procedure Code" tableColumnId="6"/>
      <queryTableField id="7" name="Diagnosis Code" tableColumnId="7"/>
      <queryTableField id="8" name="Insurance Type" tableColumnId="8"/>
      <queryTableField id="17" name="Initial Claim Status" tableColumnId="15"/>
      <queryTableField id="18" name="Final Claim Status" tableColumnId="16"/>
      <queryTableField id="10" name="Reason Cod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323F91-592C-4F69-BBAE-1263B5570662}" name="claim_data" displayName="claim_data" ref="A1:M752" tableType="queryTable" totalsRowShown="0">
  <autoFilter ref="A1:M752" xr:uid="{9E323F91-592C-4F69-BBAE-1263B5570662}"/>
  <tableColumns count="13">
    <tableColumn id="1" xr3:uid="{7600F388-5B2F-48FB-90A7-7AA8900AD126}" uniqueName="1" name="Claim ID" queryTableFieldId="1" dataDxfId="22"/>
    <tableColumn id="2" xr3:uid="{39F53067-B5BF-4EBF-82CB-DA69BCA30618}" uniqueName="2" name="Provider ID" queryTableFieldId="2"/>
    <tableColumn id="3" xr3:uid="{C0079B3D-0E43-4D31-8DD8-E3A8777D55DD}" uniqueName="3" name="Patient ID" queryTableFieldId="3"/>
    <tableColumn id="4" xr3:uid="{EB03166A-3F82-485C-BA26-10DED2EF1F3D}" uniqueName="4" name="Month" queryTableFieldId="4" dataDxfId="21"/>
    <tableColumn id="5" xr3:uid="{CBFEC797-1835-47EE-BFC9-A4841738D4BB}" uniqueName="5" name="Billed Amount" queryTableFieldId="5" dataDxfId="20"/>
    <tableColumn id="11" xr3:uid="{A2173ED7-021D-4E90-BF9F-6E6966C00AE2}" uniqueName="11" name="Paid Amount" queryTableFieldId="11" dataDxfId="19"/>
    <tableColumn id="14" xr3:uid="{9E986870-06E3-4063-B5C2-93909FA1EFE7}" uniqueName="14" name="Remaining Balance" queryTableFieldId="15" dataDxfId="18"/>
    <tableColumn id="6" xr3:uid="{B94DAD6B-EEB7-4A82-B549-D3D3D642CB37}" uniqueName="6" name="Procedure Code" queryTableFieldId="6" dataDxfId="17"/>
    <tableColumn id="7" xr3:uid="{5B6F81FB-1CDB-4C71-8C91-F7A0A17364AF}" uniqueName="7" name="Diagnosis Code" queryTableFieldId="7" dataDxfId="16"/>
    <tableColumn id="8" xr3:uid="{0A016BE2-8D73-4A68-B9E6-FBD227F2170E}" uniqueName="8" name="Insurance Type" queryTableFieldId="8" dataDxfId="15"/>
    <tableColumn id="15" xr3:uid="{FB39C016-3D97-4F72-8BB3-3305593341D7}" uniqueName="15" name="Initial Claim Status" queryTableFieldId="17" dataDxfId="14"/>
    <tableColumn id="16" xr3:uid="{A9E57939-FACB-452B-AD29-F615755ACEE3}" uniqueName="16" name="Final Claim Status" queryTableFieldId="18" dataDxfId="13"/>
    <tableColumn id="10" xr3:uid="{5E1AF538-F927-4B2B-8197-E0AAEB85F4FD}" uniqueName="10" name="Reason Code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2CB552-4779-43C9-AF9F-9C62045279BD}" name="Table5" displayName="Table5" ref="B3:C11" totalsRowShown="0">
  <autoFilter ref="B3:C11" xr:uid="{FC2CB552-4779-43C9-AF9F-9C62045279BD}"/>
  <tableColumns count="2">
    <tableColumn id="1" xr3:uid="{A50C0651-91BF-485D-B126-FACD8760C8F4}" name="Reason Codes"/>
    <tableColumn id="2" xr3:uid="{193BA53D-206B-4E79-B6C6-F1D0FEB14F1F}" name="Ave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65B41E-F670-4A69-B8C7-830C01063A3B}" name="Table6" displayName="Table6" ref="E3:F11" totalsRowShown="0">
  <autoFilter ref="E3:F11" xr:uid="{1665B41E-F670-4A69-B8C7-830C01063A3B}"/>
  <tableColumns count="2">
    <tableColumn id="1" xr3:uid="{A2058977-2523-4C52-AD65-00DFD3F56844}" name="Reason Codes"/>
    <tableColumn id="2" xr3:uid="{6C0EF9D2-2279-47B2-971D-5976B80671F7}" name="Aver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9A55F9-C588-441F-BA29-9621294B0AA5}" name="Table7" displayName="Table7" ref="B13:D23" totalsRowShown="0">
  <autoFilter ref="B13:D23" xr:uid="{719A55F9-C588-441F-BA29-9621294B0AA5}"/>
  <sortState xmlns:xlrd2="http://schemas.microsoft.com/office/spreadsheetml/2017/richdata2" ref="B14:D23">
    <sortCondition descending="1" ref="C14:C23"/>
  </sortState>
  <tableColumns count="3">
    <tableColumn id="1" xr3:uid="{B458E9D8-9D08-418B-9CCD-2DE1F9313BFF}" name="CPT Codes" dataDxfId="2"/>
    <tableColumn id="2" xr3:uid="{BF054A2B-2A83-4D7B-8051-3BA1A3C064F7}" name="Initial Denials"/>
    <tableColumn id="3" xr3:uid="{4482D3E8-B3A4-4BE9-B132-D9D16B1BBCF4}" name="Final Denial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F668B8-77ED-4FE4-BE64-8D7B7B6A4FCA}" name="Table8" displayName="Table8" ref="B26:D29" totalsRowShown="0">
  <autoFilter ref="B26:D29" xr:uid="{93F668B8-77ED-4FE4-BE64-8D7B7B6A4FCA}"/>
  <tableColumns count="3">
    <tableColumn id="1" xr3:uid="{96626F7E-06CB-40D6-895A-7D774C504E7C}" name="Insurance Type" dataDxfId="1"/>
    <tableColumn id="2" xr3:uid="{06428256-8307-44E4-A01B-9A09F63BC0F7}" name="Initial Denials"/>
    <tableColumn id="3" xr3:uid="{7D76975F-AF82-4FB9-A3B8-A1EE01D1D255}" name="Final Denia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851A55-DB5D-4175-8070-58C27CEEF1D0}" name="Table9" displayName="Table9" ref="F26:H29" totalsRowShown="0">
  <autoFilter ref="F26:H29" xr:uid="{0E851A55-DB5D-4175-8070-58C27CEEF1D0}"/>
  <tableColumns count="3">
    <tableColumn id="1" xr3:uid="{E25E549C-AFF3-4DEC-8F49-1DF12BEB0E67}" name="Insurance Type" dataDxfId="0"/>
    <tableColumn id="2" xr3:uid="{3C1F5B14-762D-4441-A7AC-3266C1BC7310}" name="Initial Denials"/>
    <tableColumn id="3" xr3:uid="{20BCEFDA-5622-4861-A8E8-4BD369E5CDC1}" name="Final Denials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rallax">
  <a:themeElements>
    <a:clrScheme name="Parallax">
      <a:dk1>
        <a:sysClr val="windowText" lastClr="000000"/>
      </a:dk1>
      <a:lt1>
        <a:sysClr val="window" lastClr="FFFFFF"/>
      </a:lt1>
      <a:dk2>
        <a:srgbClr val="212121"/>
      </a:dk2>
      <a:lt2>
        <a:srgbClr val="CDD0D1"/>
      </a:lt2>
      <a:accent1>
        <a:srgbClr val="30ACEC"/>
      </a:accent1>
      <a:accent2>
        <a:srgbClr val="80C34F"/>
      </a:accent2>
      <a:accent3>
        <a:srgbClr val="E29D3E"/>
      </a:accent3>
      <a:accent4>
        <a:srgbClr val="D64A3B"/>
      </a:accent4>
      <a:accent5>
        <a:srgbClr val="D64787"/>
      </a:accent5>
      <a:accent6>
        <a:srgbClr val="A666E1"/>
      </a:accent6>
      <a:hlink>
        <a:srgbClr val="3085ED"/>
      </a:hlink>
      <a:folHlink>
        <a:srgbClr val="82B6F4"/>
      </a:folHlink>
    </a:clrScheme>
    <a:fontScheme name="Parallax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rallax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04000"/>
              </a:schemeClr>
            </a:gs>
            <a:gs pos="100000">
              <a:schemeClr val="phClr">
                <a:tint val="8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2000"/>
              </a:schemeClr>
            </a:gs>
            <a:gs pos="100000">
              <a:schemeClr val="phClr">
                <a:shade val="88000"/>
                <a:lumMod val="94000"/>
              </a:schemeClr>
            </a:gs>
          </a:gsLst>
          <a:path path="circle">
            <a:fillToRect l="50000" t="100000" r="100000" b="50000"/>
          </a:path>
        </a:gradFill>
      </a:fillStyleLst>
      <a:lnStyleLst>
        <a:ln w="9525" cap="rnd" cmpd="sng" algn="ctr">
          <a:solidFill>
            <a:schemeClr val="phClr">
              <a:tint val="6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reflection blurRad="12700" stA="26000" endPos="32000" dist="12700" dir="5400000" sy="-100000" rotWithShape="0"/>
          </a:effectLst>
        </a:effectStyle>
        <a:effectStyle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76000"/>
                <a:satMod val="180000"/>
              </a:schemeClr>
              <a:schemeClr val="phClr">
                <a:tint val="80000"/>
                <a:satMod val="120000"/>
                <a:lumMod val="18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allax" id="{3388167B-A2EB-4685-9635-1831D9AEF8C4}" vid="{4F7A876A-7598-49CA-AFC8-8EDA2551E4A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26BE-CB3C-4F42-9C9C-58FB896D8814}">
  <dimension ref="A1:M752"/>
  <sheetViews>
    <sheetView zoomScale="77" workbookViewId="0">
      <selection activeCell="I5" sqref="I5"/>
    </sheetView>
  </sheetViews>
  <sheetFormatPr defaultRowHeight="14.5" x14ac:dyDescent="0.35"/>
  <cols>
    <col min="1" max="1" width="13.9140625" customWidth="1"/>
    <col min="2" max="2" width="13.25" customWidth="1"/>
    <col min="3" max="3" width="11.9140625" customWidth="1"/>
    <col min="4" max="4" width="9.6640625" customWidth="1"/>
    <col min="5" max="5" width="15.58203125" customWidth="1"/>
    <col min="6" max="6" width="14.33203125" customWidth="1"/>
    <col min="7" max="7" width="19.83203125" customWidth="1"/>
    <col min="8" max="8" width="17.6640625" customWidth="1"/>
    <col min="9" max="9" width="17" customWidth="1"/>
    <col min="10" max="10" width="16.75" customWidth="1"/>
    <col min="11" max="11" width="19.6640625" customWidth="1"/>
    <col min="12" max="12" width="18.9140625" customWidth="1"/>
    <col min="13" max="13" width="23.6640625" customWidth="1"/>
    <col min="14" max="14" width="23.1640625" customWidth="1"/>
    <col min="15" max="15" width="21.25" customWidth="1"/>
    <col min="16" max="16" width="17.9140625" bestFit="1" customWidth="1"/>
    <col min="17" max="17" width="10.33203125" bestFit="1" customWidth="1"/>
  </cols>
  <sheetData>
    <row r="1" spans="1:13" x14ac:dyDescent="0.35">
      <c r="A1" t="s">
        <v>4</v>
      </c>
      <c r="B1" t="s">
        <v>5</v>
      </c>
      <c r="C1" t="s">
        <v>6</v>
      </c>
      <c r="D1" t="s">
        <v>7</v>
      </c>
      <c r="E1" s="7" t="s">
        <v>8</v>
      </c>
      <c r="F1" s="7" t="s">
        <v>893</v>
      </c>
      <c r="G1" s="7" t="s">
        <v>895</v>
      </c>
      <c r="H1" t="s">
        <v>9</v>
      </c>
      <c r="I1" t="s">
        <v>10</v>
      </c>
      <c r="J1" t="s">
        <v>11</v>
      </c>
      <c r="K1" t="s">
        <v>897</v>
      </c>
      <c r="L1" t="s">
        <v>898</v>
      </c>
      <c r="M1" t="s">
        <v>12</v>
      </c>
    </row>
    <row r="2" spans="1:13" x14ac:dyDescent="0.35">
      <c r="A2" t="s">
        <v>18</v>
      </c>
      <c r="B2">
        <v>6986719948</v>
      </c>
      <c r="C2">
        <v>1547160031</v>
      </c>
      <c r="D2" t="s">
        <v>19</v>
      </c>
      <c r="E2" s="7">
        <v>348</v>
      </c>
      <c r="F2" s="7">
        <v>348</v>
      </c>
      <c r="G2" s="7">
        <v>0</v>
      </c>
      <c r="H2" t="s">
        <v>20</v>
      </c>
      <c r="I2" t="s">
        <v>21</v>
      </c>
      <c r="J2" t="s">
        <v>22</v>
      </c>
      <c r="K2" t="s">
        <v>16</v>
      </c>
      <c r="L2" t="s">
        <v>16</v>
      </c>
      <c r="M2" t="s">
        <v>17</v>
      </c>
    </row>
    <row r="3" spans="1:13" x14ac:dyDescent="0.35">
      <c r="A3" t="s">
        <v>23</v>
      </c>
      <c r="B3">
        <v>1355108115</v>
      </c>
      <c r="C3">
        <v>2611585318</v>
      </c>
      <c r="D3" t="s">
        <v>24</v>
      </c>
      <c r="E3" s="7">
        <v>235</v>
      </c>
      <c r="F3" s="7">
        <v>0</v>
      </c>
      <c r="G3" s="7">
        <v>235</v>
      </c>
      <c r="H3" t="s">
        <v>20</v>
      </c>
      <c r="I3" t="s">
        <v>25</v>
      </c>
      <c r="J3" t="s">
        <v>26</v>
      </c>
      <c r="K3" t="s">
        <v>27</v>
      </c>
      <c r="L3" t="s">
        <v>0</v>
      </c>
      <c r="M3" t="s">
        <v>28</v>
      </c>
    </row>
    <row r="4" spans="1:13" x14ac:dyDescent="0.35">
      <c r="A4" t="s">
        <v>29</v>
      </c>
      <c r="B4">
        <v>9991055906</v>
      </c>
      <c r="C4">
        <v>7167948632</v>
      </c>
      <c r="D4" t="s">
        <v>30</v>
      </c>
      <c r="E4" s="7">
        <v>112</v>
      </c>
      <c r="F4" s="7">
        <v>0</v>
      </c>
      <c r="G4" s="7">
        <v>112</v>
      </c>
      <c r="H4" t="s">
        <v>31</v>
      </c>
      <c r="I4" t="s">
        <v>32</v>
      </c>
      <c r="J4" t="s">
        <v>22</v>
      </c>
      <c r="K4" t="s">
        <v>0</v>
      </c>
      <c r="L4" t="s">
        <v>0</v>
      </c>
      <c r="M4" t="s">
        <v>33</v>
      </c>
    </row>
    <row r="5" spans="1:13" x14ac:dyDescent="0.35">
      <c r="A5" t="s">
        <v>34</v>
      </c>
      <c r="B5">
        <v>7382167012</v>
      </c>
      <c r="C5">
        <v>2140226267</v>
      </c>
      <c r="D5" t="s">
        <v>24</v>
      </c>
      <c r="E5" s="7">
        <v>406</v>
      </c>
      <c r="F5" s="7">
        <v>0</v>
      </c>
      <c r="G5" s="7">
        <v>406</v>
      </c>
      <c r="H5" t="s">
        <v>35</v>
      </c>
      <c r="I5" t="s">
        <v>36</v>
      </c>
      <c r="J5" t="s">
        <v>22</v>
      </c>
      <c r="K5" t="s">
        <v>0</v>
      </c>
      <c r="L5" t="s">
        <v>0</v>
      </c>
      <c r="M5" t="s">
        <v>33</v>
      </c>
    </row>
    <row r="6" spans="1:13" x14ac:dyDescent="0.35">
      <c r="A6" t="s">
        <v>37</v>
      </c>
      <c r="B6">
        <v>4996652383</v>
      </c>
      <c r="C6">
        <v>1558663046</v>
      </c>
      <c r="D6" t="s">
        <v>24</v>
      </c>
      <c r="E6" s="7">
        <v>358</v>
      </c>
      <c r="F6" s="7">
        <v>358</v>
      </c>
      <c r="G6" s="7">
        <v>0</v>
      </c>
      <c r="H6" t="s">
        <v>38</v>
      </c>
      <c r="I6" t="s">
        <v>39</v>
      </c>
      <c r="J6" t="s">
        <v>22</v>
      </c>
      <c r="K6" t="s">
        <v>0</v>
      </c>
      <c r="L6" t="s">
        <v>16</v>
      </c>
      <c r="M6" t="s">
        <v>40</v>
      </c>
    </row>
    <row r="7" spans="1:13" x14ac:dyDescent="0.35">
      <c r="A7" t="s">
        <v>41</v>
      </c>
      <c r="B7">
        <v>7437563222</v>
      </c>
      <c r="C7">
        <v>5362322108</v>
      </c>
      <c r="D7" t="s">
        <v>30</v>
      </c>
      <c r="E7" s="7">
        <v>365</v>
      </c>
      <c r="F7" s="7">
        <v>365</v>
      </c>
      <c r="G7" s="7">
        <v>0</v>
      </c>
      <c r="H7" t="s">
        <v>20</v>
      </c>
      <c r="I7" t="s">
        <v>42</v>
      </c>
      <c r="J7" t="s">
        <v>43</v>
      </c>
      <c r="K7" t="s">
        <v>27</v>
      </c>
      <c r="L7" t="s">
        <v>16</v>
      </c>
      <c r="M7" t="s">
        <v>44</v>
      </c>
    </row>
    <row r="8" spans="1:13" x14ac:dyDescent="0.35">
      <c r="A8" t="s">
        <v>45</v>
      </c>
      <c r="B8">
        <v>6675789567</v>
      </c>
      <c r="C8">
        <v>1861061750</v>
      </c>
      <c r="D8" t="s">
        <v>24</v>
      </c>
      <c r="E8" s="7">
        <v>126</v>
      </c>
      <c r="F8" s="7">
        <v>108</v>
      </c>
      <c r="G8" s="7">
        <v>18</v>
      </c>
      <c r="H8" t="s">
        <v>35</v>
      </c>
      <c r="I8" t="s">
        <v>46</v>
      </c>
      <c r="J8" t="s">
        <v>22</v>
      </c>
      <c r="K8" t="s">
        <v>0</v>
      </c>
      <c r="L8" t="s">
        <v>894</v>
      </c>
      <c r="M8" t="s">
        <v>33</v>
      </c>
    </row>
    <row r="9" spans="1:13" x14ac:dyDescent="0.35">
      <c r="A9" t="s">
        <v>47</v>
      </c>
      <c r="B9">
        <v>7933652528</v>
      </c>
      <c r="C9">
        <v>2435590086</v>
      </c>
      <c r="D9" t="s">
        <v>30</v>
      </c>
      <c r="E9" s="7">
        <v>342</v>
      </c>
      <c r="F9" s="7">
        <v>342</v>
      </c>
      <c r="G9" s="7">
        <v>0</v>
      </c>
      <c r="H9" t="s">
        <v>38</v>
      </c>
      <c r="I9" t="s">
        <v>48</v>
      </c>
      <c r="J9" t="s">
        <v>22</v>
      </c>
      <c r="K9" t="s">
        <v>16</v>
      </c>
      <c r="L9" t="s">
        <v>16</v>
      </c>
      <c r="M9" t="s">
        <v>17</v>
      </c>
    </row>
    <row r="10" spans="1:13" x14ac:dyDescent="0.35">
      <c r="A10" t="s">
        <v>49</v>
      </c>
      <c r="B10">
        <v>2267536625</v>
      </c>
      <c r="C10">
        <v>825710946</v>
      </c>
      <c r="D10" t="s">
        <v>30</v>
      </c>
      <c r="E10" s="7">
        <v>141</v>
      </c>
      <c r="F10" s="7">
        <v>81</v>
      </c>
      <c r="G10" s="7">
        <v>60</v>
      </c>
      <c r="H10" t="s">
        <v>38</v>
      </c>
      <c r="I10" t="s">
        <v>50</v>
      </c>
      <c r="J10" t="s">
        <v>22</v>
      </c>
      <c r="K10" t="s">
        <v>27</v>
      </c>
      <c r="L10" t="s">
        <v>894</v>
      </c>
      <c r="M10" t="s">
        <v>51</v>
      </c>
    </row>
    <row r="11" spans="1:13" x14ac:dyDescent="0.35">
      <c r="A11" t="s">
        <v>52</v>
      </c>
      <c r="B11">
        <v>5416951835</v>
      </c>
      <c r="C11">
        <v>7549905083</v>
      </c>
      <c r="D11" t="s">
        <v>30</v>
      </c>
      <c r="E11" s="7">
        <v>113</v>
      </c>
      <c r="F11" s="7">
        <v>0</v>
      </c>
      <c r="G11" s="7">
        <v>113</v>
      </c>
      <c r="H11" t="s">
        <v>53</v>
      </c>
      <c r="I11" t="s">
        <v>54</v>
      </c>
      <c r="J11" t="s">
        <v>43</v>
      </c>
      <c r="K11" t="s">
        <v>27</v>
      </c>
      <c r="L11" t="s">
        <v>0</v>
      </c>
      <c r="M11" t="s">
        <v>55</v>
      </c>
    </row>
    <row r="12" spans="1:13" x14ac:dyDescent="0.35">
      <c r="A12" t="s">
        <v>59</v>
      </c>
      <c r="B12">
        <v>3512772966</v>
      </c>
      <c r="C12">
        <v>7459859155</v>
      </c>
      <c r="D12" t="s">
        <v>19</v>
      </c>
      <c r="E12" s="7">
        <v>162</v>
      </c>
      <c r="F12" s="7">
        <v>162</v>
      </c>
      <c r="G12" s="7">
        <v>0</v>
      </c>
      <c r="H12" t="s">
        <v>56</v>
      </c>
      <c r="I12" t="s">
        <v>57</v>
      </c>
      <c r="J12" t="s">
        <v>26</v>
      </c>
      <c r="K12" t="s">
        <v>0</v>
      </c>
      <c r="L12" t="s">
        <v>16</v>
      </c>
      <c r="M12" t="s">
        <v>33</v>
      </c>
    </row>
    <row r="13" spans="1:13" x14ac:dyDescent="0.35">
      <c r="A13" t="s">
        <v>60</v>
      </c>
      <c r="B13">
        <v>1637431064</v>
      </c>
      <c r="C13">
        <v>651880351</v>
      </c>
      <c r="D13" t="s">
        <v>13</v>
      </c>
      <c r="E13" s="7">
        <v>493</v>
      </c>
      <c r="F13" s="7">
        <v>493</v>
      </c>
      <c r="G13" s="7">
        <v>0</v>
      </c>
      <c r="H13" t="s">
        <v>56</v>
      </c>
      <c r="I13" t="s">
        <v>61</v>
      </c>
      <c r="J13" t="s">
        <v>43</v>
      </c>
      <c r="K13" t="s">
        <v>16</v>
      </c>
      <c r="L13" t="s">
        <v>16</v>
      </c>
      <c r="M13" t="s">
        <v>17</v>
      </c>
    </row>
    <row r="14" spans="1:13" x14ac:dyDescent="0.35">
      <c r="A14" t="s">
        <v>62</v>
      </c>
      <c r="B14">
        <v>3104304757</v>
      </c>
      <c r="C14">
        <v>5311844927</v>
      </c>
      <c r="D14" t="s">
        <v>24</v>
      </c>
      <c r="E14" s="7">
        <v>260</v>
      </c>
      <c r="F14" s="7">
        <v>0</v>
      </c>
      <c r="G14" s="7">
        <v>260</v>
      </c>
      <c r="H14" t="s">
        <v>20</v>
      </c>
      <c r="I14" t="s">
        <v>63</v>
      </c>
      <c r="J14" t="s">
        <v>43</v>
      </c>
      <c r="K14" t="s">
        <v>0</v>
      </c>
      <c r="L14" t="s">
        <v>0</v>
      </c>
      <c r="M14" t="s">
        <v>44</v>
      </c>
    </row>
    <row r="15" spans="1:13" x14ac:dyDescent="0.35">
      <c r="A15" t="s">
        <v>64</v>
      </c>
      <c r="B15">
        <v>9639529144</v>
      </c>
      <c r="C15">
        <v>177264715</v>
      </c>
      <c r="D15" t="s">
        <v>13</v>
      </c>
      <c r="E15" s="7">
        <v>126</v>
      </c>
      <c r="F15" s="7">
        <v>0</v>
      </c>
      <c r="G15" s="7">
        <v>126</v>
      </c>
      <c r="H15" t="s">
        <v>38</v>
      </c>
      <c r="I15" t="s">
        <v>65</v>
      </c>
      <c r="J15" t="s">
        <v>43</v>
      </c>
      <c r="K15" t="s">
        <v>27</v>
      </c>
      <c r="L15" t="s">
        <v>0</v>
      </c>
      <c r="M15" t="s">
        <v>28</v>
      </c>
    </row>
    <row r="16" spans="1:13" x14ac:dyDescent="0.35">
      <c r="A16" t="s">
        <v>66</v>
      </c>
      <c r="B16">
        <v>7500072920</v>
      </c>
      <c r="C16">
        <v>7385589180</v>
      </c>
      <c r="D16" t="s">
        <v>67</v>
      </c>
      <c r="E16" s="7">
        <v>311</v>
      </c>
      <c r="F16" s="7">
        <v>311</v>
      </c>
      <c r="G16" s="7">
        <v>0</v>
      </c>
      <c r="H16" t="s">
        <v>14</v>
      </c>
      <c r="I16" t="s">
        <v>68</v>
      </c>
      <c r="J16" t="s">
        <v>43</v>
      </c>
      <c r="K16" t="s">
        <v>27</v>
      </c>
      <c r="L16" t="s">
        <v>16</v>
      </c>
      <c r="M16" t="s">
        <v>58</v>
      </c>
    </row>
    <row r="17" spans="1:13" x14ac:dyDescent="0.35">
      <c r="A17" t="s">
        <v>69</v>
      </c>
      <c r="B17">
        <v>6359854192</v>
      </c>
      <c r="C17">
        <v>6031973951</v>
      </c>
      <c r="D17" t="s">
        <v>13</v>
      </c>
      <c r="E17" s="7">
        <v>408</v>
      </c>
      <c r="F17" s="7">
        <v>408</v>
      </c>
      <c r="G17" s="7">
        <v>0</v>
      </c>
      <c r="H17" t="s">
        <v>70</v>
      </c>
      <c r="I17" t="s">
        <v>71</v>
      </c>
      <c r="J17" t="s">
        <v>43</v>
      </c>
      <c r="K17" t="s">
        <v>16</v>
      </c>
      <c r="L17" t="s">
        <v>16</v>
      </c>
      <c r="M17" t="s">
        <v>17</v>
      </c>
    </row>
    <row r="18" spans="1:13" x14ac:dyDescent="0.35">
      <c r="A18" t="s">
        <v>73</v>
      </c>
      <c r="B18">
        <v>2491663842</v>
      </c>
      <c r="C18">
        <v>6867451346</v>
      </c>
      <c r="D18" t="s">
        <v>24</v>
      </c>
      <c r="E18" s="7">
        <v>146</v>
      </c>
      <c r="F18" s="7">
        <v>99</v>
      </c>
      <c r="G18" s="7">
        <v>47</v>
      </c>
      <c r="H18" t="s">
        <v>20</v>
      </c>
      <c r="I18" t="s">
        <v>74</v>
      </c>
      <c r="J18" t="s">
        <v>43</v>
      </c>
      <c r="K18" t="s">
        <v>27</v>
      </c>
      <c r="L18" t="s">
        <v>894</v>
      </c>
      <c r="M18" t="s">
        <v>33</v>
      </c>
    </row>
    <row r="19" spans="1:13" x14ac:dyDescent="0.35">
      <c r="A19" t="s">
        <v>75</v>
      </c>
      <c r="B19">
        <v>542828755</v>
      </c>
      <c r="C19">
        <v>6256271979</v>
      </c>
      <c r="D19" t="s">
        <v>19</v>
      </c>
      <c r="E19" s="7">
        <v>150</v>
      </c>
      <c r="F19" s="7">
        <v>150</v>
      </c>
      <c r="G19" s="7">
        <v>0</v>
      </c>
      <c r="H19" t="s">
        <v>53</v>
      </c>
      <c r="I19" t="s">
        <v>76</v>
      </c>
      <c r="J19" t="s">
        <v>26</v>
      </c>
      <c r="K19" t="s">
        <v>0</v>
      </c>
      <c r="L19" t="s">
        <v>16</v>
      </c>
      <c r="M19" t="s">
        <v>33</v>
      </c>
    </row>
    <row r="20" spans="1:13" x14ac:dyDescent="0.35">
      <c r="A20" t="s">
        <v>77</v>
      </c>
      <c r="B20">
        <v>5725279994</v>
      </c>
      <c r="C20">
        <v>2860208500</v>
      </c>
      <c r="D20" t="s">
        <v>24</v>
      </c>
      <c r="E20" s="7">
        <v>285</v>
      </c>
      <c r="F20" s="7">
        <v>285</v>
      </c>
      <c r="G20" s="7">
        <v>0</v>
      </c>
      <c r="H20" t="s">
        <v>20</v>
      </c>
      <c r="I20" t="s">
        <v>78</v>
      </c>
      <c r="J20" t="s">
        <v>22</v>
      </c>
      <c r="K20" t="s">
        <v>16</v>
      </c>
      <c r="L20" t="s">
        <v>16</v>
      </c>
      <c r="M20" t="s">
        <v>17</v>
      </c>
    </row>
    <row r="21" spans="1:13" x14ac:dyDescent="0.35">
      <c r="A21" t="s">
        <v>79</v>
      </c>
      <c r="B21">
        <v>2554215460</v>
      </c>
      <c r="C21">
        <v>5372537165</v>
      </c>
      <c r="D21" t="s">
        <v>24</v>
      </c>
      <c r="E21" s="7">
        <v>139</v>
      </c>
      <c r="F21" s="7">
        <v>139</v>
      </c>
      <c r="G21" s="7">
        <v>0</v>
      </c>
      <c r="H21" t="s">
        <v>80</v>
      </c>
      <c r="I21" t="s">
        <v>81</v>
      </c>
      <c r="J21" t="s">
        <v>43</v>
      </c>
      <c r="K21" t="s">
        <v>16</v>
      </c>
      <c r="L21" t="s">
        <v>16</v>
      </c>
      <c r="M21" t="s">
        <v>17</v>
      </c>
    </row>
    <row r="22" spans="1:13" x14ac:dyDescent="0.35">
      <c r="A22" t="s">
        <v>82</v>
      </c>
      <c r="B22">
        <v>7302133328</v>
      </c>
      <c r="C22">
        <v>6938202039</v>
      </c>
      <c r="D22" t="s">
        <v>19</v>
      </c>
      <c r="E22" s="7">
        <v>126</v>
      </c>
      <c r="F22" s="7">
        <v>71</v>
      </c>
      <c r="G22" s="7">
        <v>55</v>
      </c>
      <c r="H22" t="s">
        <v>35</v>
      </c>
      <c r="I22" t="s">
        <v>83</v>
      </c>
      <c r="J22" t="s">
        <v>22</v>
      </c>
      <c r="K22" t="s">
        <v>0</v>
      </c>
      <c r="L22" t="s">
        <v>894</v>
      </c>
      <c r="M22" t="s">
        <v>58</v>
      </c>
    </row>
    <row r="23" spans="1:13" x14ac:dyDescent="0.35">
      <c r="A23" t="s">
        <v>84</v>
      </c>
      <c r="B23">
        <v>5948416270</v>
      </c>
      <c r="C23">
        <v>3734914882</v>
      </c>
      <c r="D23" t="s">
        <v>24</v>
      </c>
      <c r="E23" s="7">
        <v>160</v>
      </c>
      <c r="F23" s="7">
        <v>0</v>
      </c>
      <c r="G23" s="7">
        <v>160</v>
      </c>
      <c r="H23" t="s">
        <v>38</v>
      </c>
      <c r="I23" t="s">
        <v>85</v>
      </c>
      <c r="J23" t="s">
        <v>26</v>
      </c>
      <c r="K23" t="s">
        <v>27</v>
      </c>
      <c r="L23" t="s">
        <v>0</v>
      </c>
      <c r="M23" t="s">
        <v>58</v>
      </c>
    </row>
    <row r="24" spans="1:13" x14ac:dyDescent="0.35">
      <c r="A24" t="s">
        <v>87</v>
      </c>
      <c r="B24">
        <v>4538399253</v>
      </c>
      <c r="C24">
        <v>6085203521</v>
      </c>
      <c r="D24" t="s">
        <v>13</v>
      </c>
      <c r="E24" s="7">
        <v>308</v>
      </c>
      <c r="F24" s="7">
        <v>308</v>
      </c>
      <c r="G24" s="7">
        <v>0</v>
      </c>
      <c r="H24" t="s">
        <v>80</v>
      </c>
      <c r="I24" t="s">
        <v>88</v>
      </c>
      <c r="J24" t="s">
        <v>26</v>
      </c>
      <c r="K24" t="s">
        <v>0</v>
      </c>
      <c r="L24" t="s">
        <v>16</v>
      </c>
      <c r="M24" t="s">
        <v>55</v>
      </c>
    </row>
    <row r="25" spans="1:13" x14ac:dyDescent="0.35">
      <c r="A25" t="s">
        <v>89</v>
      </c>
      <c r="B25">
        <v>6779644831</v>
      </c>
      <c r="C25">
        <v>5435853343</v>
      </c>
      <c r="D25" t="s">
        <v>30</v>
      </c>
      <c r="E25" s="7">
        <v>416</v>
      </c>
      <c r="F25" s="7">
        <v>416</v>
      </c>
      <c r="G25" s="7">
        <v>0</v>
      </c>
      <c r="H25" t="s">
        <v>38</v>
      </c>
      <c r="I25" t="s">
        <v>90</v>
      </c>
      <c r="J25" t="s">
        <v>26</v>
      </c>
      <c r="K25" t="s">
        <v>16</v>
      </c>
      <c r="L25" t="s">
        <v>16</v>
      </c>
      <c r="M25" t="s">
        <v>17</v>
      </c>
    </row>
    <row r="26" spans="1:13" x14ac:dyDescent="0.35">
      <c r="A26" t="s">
        <v>91</v>
      </c>
      <c r="B26">
        <v>2308971249</v>
      </c>
      <c r="C26">
        <v>4541238668</v>
      </c>
      <c r="D26" t="s">
        <v>13</v>
      </c>
      <c r="E26" s="7">
        <v>170</v>
      </c>
      <c r="F26" s="7">
        <v>170</v>
      </c>
      <c r="G26" s="7">
        <v>0</v>
      </c>
      <c r="H26" t="s">
        <v>70</v>
      </c>
      <c r="I26" t="s">
        <v>92</v>
      </c>
      <c r="J26" t="s">
        <v>26</v>
      </c>
      <c r="K26" t="s">
        <v>16</v>
      </c>
      <c r="L26" t="s">
        <v>16</v>
      </c>
      <c r="M26" t="s">
        <v>17</v>
      </c>
    </row>
    <row r="27" spans="1:13" x14ac:dyDescent="0.35">
      <c r="A27" t="s">
        <v>93</v>
      </c>
      <c r="B27">
        <v>3356892406</v>
      </c>
      <c r="C27">
        <v>8155075476</v>
      </c>
      <c r="D27" t="s">
        <v>24</v>
      </c>
      <c r="E27" s="7">
        <v>202</v>
      </c>
      <c r="F27" s="7">
        <v>202</v>
      </c>
      <c r="G27" s="7">
        <v>0</v>
      </c>
      <c r="H27" t="s">
        <v>31</v>
      </c>
      <c r="I27" t="s">
        <v>94</v>
      </c>
      <c r="J27" t="s">
        <v>43</v>
      </c>
      <c r="K27" t="s">
        <v>16</v>
      </c>
      <c r="L27" t="s">
        <v>16</v>
      </c>
      <c r="M27" t="s">
        <v>17</v>
      </c>
    </row>
    <row r="28" spans="1:13" x14ac:dyDescent="0.35">
      <c r="A28" t="s">
        <v>95</v>
      </c>
      <c r="B28">
        <v>7576667741</v>
      </c>
      <c r="C28">
        <v>4812043647</v>
      </c>
      <c r="D28" t="s">
        <v>67</v>
      </c>
      <c r="E28" s="7">
        <v>142</v>
      </c>
      <c r="F28" s="7">
        <v>142</v>
      </c>
      <c r="G28" s="7">
        <v>0</v>
      </c>
      <c r="H28" t="s">
        <v>53</v>
      </c>
      <c r="I28" t="s">
        <v>96</v>
      </c>
      <c r="J28" t="s">
        <v>22</v>
      </c>
      <c r="K28" t="s">
        <v>16</v>
      </c>
      <c r="L28" t="s">
        <v>16</v>
      </c>
      <c r="M28" t="s">
        <v>17</v>
      </c>
    </row>
    <row r="29" spans="1:13" x14ac:dyDescent="0.35">
      <c r="A29" t="s">
        <v>98</v>
      </c>
      <c r="B29">
        <v>276875673</v>
      </c>
      <c r="C29">
        <v>2413503202</v>
      </c>
      <c r="D29" t="s">
        <v>24</v>
      </c>
      <c r="E29" s="7">
        <v>363</v>
      </c>
      <c r="F29" s="7">
        <v>363</v>
      </c>
      <c r="G29" s="7">
        <v>0</v>
      </c>
      <c r="H29" t="s">
        <v>35</v>
      </c>
      <c r="I29" t="s">
        <v>25</v>
      </c>
      <c r="J29" t="s">
        <v>43</v>
      </c>
      <c r="K29" t="s">
        <v>0</v>
      </c>
      <c r="L29" t="s">
        <v>16</v>
      </c>
      <c r="M29" t="s">
        <v>51</v>
      </c>
    </row>
    <row r="30" spans="1:13" x14ac:dyDescent="0.35">
      <c r="A30" t="s">
        <v>102</v>
      </c>
      <c r="B30">
        <v>7209147346</v>
      </c>
      <c r="C30">
        <v>227390225</v>
      </c>
      <c r="D30" t="s">
        <v>19</v>
      </c>
      <c r="E30" s="7">
        <v>237</v>
      </c>
      <c r="F30" s="7">
        <v>237</v>
      </c>
      <c r="G30" s="7">
        <v>0</v>
      </c>
      <c r="H30" t="s">
        <v>56</v>
      </c>
      <c r="I30" t="s">
        <v>103</v>
      </c>
      <c r="J30" t="s">
        <v>43</v>
      </c>
      <c r="K30" t="s">
        <v>16</v>
      </c>
      <c r="L30" t="s">
        <v>16</v>
      </c>
      <c r="M30" t="s">
        <v>17</v>
      </c>
    </row>
    <row r="31" spans="1:13" x14ac:dyDescent="0.35">
      <c r="A31" t="s">
        <v>104</v>
      </c>
      <c r="B31">
        <v>8981531916</v>
      </c>
      <c r="C31">
        <v>4890820005</v>
      </c>
      <c r="D31" t="s">
        <v>13</v>
      </c>
      <c r="E31" s="7">
        <v>410</v>
      </c>
      <c r="F31" s="7">
        <v>410</v>
      </c>
      <c r="G31" s="7">
        <v>0</v>
      </c>
      <c r="H31" t="s">
        <v>31</v>
      </c>
      <c r="I31" t="s">
        <v>105</v>
      </c>
      <c r="J31" t="s">
        <v>26</v>
      </c>
      <c r="K31" t="s">
        <v>16</v>
      </c>
      <c r="L31" t="s">
        <v>16</v>
      </c>
      <c r="M31" t="s">
        <v>17</v>
      </c>
    </row>
    <row r="32" spans="1:13" x14ac:dyDescent="0.35">
      <c r="A32" t="s">
        <v>108</v>
      </c>
      <c r="B32">
        <v>8276621620</v>
      </c>
      <c r="C32">
        <v>2120452751</v>
      </c>
      <c r="D32" t="s">
        <v>19</v>
      </c>
      <c r="E32" s="7">
        <v>324</v>
      </c>
      <c r="F32" s="7">
        <v>191</v>
      </c>
      <c r="G32" s="7">
        <v>133</v>
      </c>
      <c r="H32" t="s">
        <v>35</v>
      </c>
      <c r="I32" t="s">
        <v>109</v>
      </c>
      <c r="J32" t="s">
        <v>26</v>
      </c>
      <c r="K32" t="s">
        <v>0</v>
      </c>
      <c r="L32" t="s">
        <v>894</v>
      </c>
      <c r="M32" t="s">
        <v>51</v>
      </c>
    </row>
    <row r="33" spans="1:13" x14ac:dyDescent="0.35">
      <c r="A33" t="s">
        <v>111</v>
      </c>
      <c r="B33">
        <v>1812478896</v>
      </c>
      <c r="C33">
        <v>650225685</v>
      </c>
      <c r="D33" t="s">
        <v>67</v>
      </c>
      <c r="E33" s="7">
        <v>148</v>
      </c>
      <c r="F33" s="7">
        <v>148</v>
      </c>
      <c r="G33" s="7">
        <v>0</v>
      </c>
      <c r="H33" t="s">
        <v>14</v>
      </c>
      <c r="I33" t="s">
        <v>112</v>
      </c>
      <c r="J33" t="s">
        <v>43</v>
      </c>
      <c r="K33" t="s">
        <v>16</v>
      </c>
      <c r="L33" t="s">
        <v>16</v>
      </c>
      <c r="M33" t="s">
        <v>17</v>
      </c>
    </row>
    <row r="34" spans="1:13" x14ac:dyDescent="0.35">
      <c r="A34" t="s">
        <v>113</v>
      </c>
      <c r="B34">
        <v>1050854260</v>
      </c>
      <c r="C34">
        <v>2515811371</v>
      </c>
      <c r="D34" t="s">
        <v>13</v>
      </c>
      <c r="E34" s="7">
        <v>327</v>
      </c>
      <c r="F34" s="7">
        <v>194</v>
      </c>
      <c r="G34" s="7">
        <v>133</v>
      </c>
      <c r="H34" t="s">
        <v>14</v>
      </c>
      <c r="I34" t="s">
        <v>114</v>
      </c>
      <c r="J34" t="s">
        <v>26</v>
      </c>
      <c r="K34" t="s">
        <v>0</v>
      </c>
      <c r="L34" t="s">
        <v>894</v>
      </c>
      <c r="M34" t="s">
        <v>55</v>
      </c>
    </row>
    <row r="35" spans="1:13" x14ac:dyDescent="0.35">
      <c r="A35" t="s">
        <v>115</v>
      </c>
      <c r="B35">
        <v>4570094483</v>
      </c>
      <c r="C35">
        <v>1098138200</v>
      </c>
      <c r="D35" t="s">
        <v>30</v>
      </c>
      <c r="E35" s="7">
        <v>447</v>
      </c>
      <c r="F35" s="7">
        <v>380</v>
      </c>
      <c r="G35" s="7">
        <v>67</v>
      </c>
      <c r="H35" t="s">
        <v>80</v>
      </c>
      <c r="I35" t="s">
        <v>116</v>
      </c>
      <c r="J35" t="s">
        <v>43</v>
      </c>
      <c r="K35" t="s">
        <v>27</v>
      </c>
      <c r="L35" t="s">
        <v>894</v>
      </c>
      <c r="M35" t="s">
        <v>44</v>
      </c>
    </row>
    <row r="36" spans="1:13" x14ac:dyDescent="0.35">
      <c r="A36" t="s">
        <v>118</v>
      </c>
      <c r="B36">
        <v>7247268045</v>
      </c>
      <c r="C36">
        <v>2997330433</v>
      </c>
      <c r="D36" t="s">
        <v>13</v>
      </c>
      <c r="E36" s="7">
        <v>370</v>
      </c>
      <c r="F36" s="7">
        <v>370</v>
      </c>
      <c r="G36" s="7">
        <v>0</v>
      </c>
      <c r="H36" t="s">
        <v>31</v>
      </c>
      <c r="I36" t="s">
        <v>48</v>
      </c>
      <c r="J36" t="s">
        <v>22</v>
      </c>
      <c r="K36" t="s">
        <v>16</v>
      </c>
      <c r="L36" t="s">
        <v>16</v>
      </c>
      <c r="M36" t="s">
        <v>17</v>
      </c>
    </row>
    <row r="37" spans="1:13" x14ac:dyDescent="0.35">
      <c r="A37" t="s">
        <v>119</v>
      </c>
      <c r="B37">
        <v>3019535482</v>
      </c>
      <c r="C37">
        <v>8728813610</v>
      </c>
      <c r="D37" t="s">
        <v>24</v>
      </c>
      <c r="E37" s="7">
        <v>336</v>
      </c>
      <c r="F37" s="7">
        <v>0</v>
      </c>
      <c r="G37" s="7">
        <v>336</v>
      </c>
      <c r="H37" t="s">
        <v>38</v>
      </c>
      <c r="I37" t="s">
        <v>120</v>
      </c>
      <c r="J37" t="s">
        <v>43</v>
      </c>
      <c r="K37" t="s">
        <v>0</v>
      </c>
      <c r="L37" t="s">
        <v>0</v>
      </c>
      <c r="M37" t="s">
        <v>44</v>
      </c>
    </row>
    <row r="38" spans="1:13" x14ac:dyDescent="0.35">
      <c r="A38" t="s">
        <v>123</v>
      </c>
      <c r="B38">
        <v>8063697945</v>
      </c>
      <c r="C38">
        <v>1059834782</v>
      </c>
      <c r="D38" t="s">
        <v>30</v>
      </c>
      <c r="E38" s="7">
        <v>171</v>
      </c>
      <c r="F38" s="7">
        <v>0</v>
      </c>
      <c r="G38" s="7">
        <v>171</v>
      </c>
      <c r="H38" t="s">
        <v>38</v>
      </c>
      <c r="I38" t="s">
        <v>57</v>
      </c>
      <c r="J38" t="s">
        <v>43</v>
      </c>
      <c r="K38" t="s">
        <v>27</v>
      </c>
      <c r="L38" t="s">
        <v>0</v>
      </c>
      <c r="M38" t="s">
        <v>44</v>
      </c>
    </row>
    <row r="39" spans="1:13" x14ac:dyDescent="0.35">
      <c r="A39" t="s">
        <v>124</v>
      </c>
      <c r="B39">
        <v>8492770453</v>
      </c>
      <c r="C39">
        <v>1979531776</v>
      </c>
      <c r="D39" t="s">
        <v>30</v>
      </c>
      <c r="E39" s="7">
        <v>448</v>
      </c>
      <c r="F39" s="7">
        <v>282</v>
      </c>
      <c r="G39" s="7">
        <v>166</v>
      </c>
      <c r="H39" t="s">
        <v>35</v>
      </c>
      <c r="I39" t="s">
        <v>125</v>
      </c>
      <c r="J39" t="s">
        <v>26</v>
      </c>
      <c r="K39" t="s">
        <v>0</v>
      </c>
      <c r="L39" t="s">
        <v>894</v>
      </c>
      <c r="M39" t="s">
        <v>126</v>
      </c>
    </row>
    <row r="40" spans="1:13" x14ac:dyDescent="0.35">
      <c r="A40" t="s">
        <v>127</v>
      </c>
      <c r="B40">
        <v>419744224</v>
      </c>
      <c r="C40">
        <v>3530230251</v>
      </c>
      <c r="D40" t="s">
        <v>13</v>
      </c>
      <c r="E40" s="7">
        <v>412</v>
      </c>
      <c r="F40" s="7">
        <v>0</v>
      </c>
      <c r="G40" s="7">
        <v>412</v>
      </c>
      <c r="H40" t="s">
        <v>14</v>
      </c>
      <c r="I40" t="s">
        <v>128</v>
      </c>
      <c r="J40" t="s">
        <v>26</v>
      </c>
      <c r="K40" t="s">
        <v>0</v>
      </c>
      <c r="L40" t="s">
        <v>0</v>
      </c>
      <c r="M40" t="s">
        <v>33</v>
      </c>
    </row>
    <row r="41" spans="1:13" x14ac:dyDescent="0.35">
      <c r="A41" t="s">
        <v>129</v>
      </c>
      <c r="B41">
        <v>4235285205</v>
      </c>
      <c r="C41">
        <v>5791901788</v>
      </c>
      <c r="D41" t="s">
        <v>67</v>
      </c>
      <c r="E41" s="7">
        <v>323</v>
      </c>
      <c r="F41" s="7">
        <v>323</v>
      </c>
      <c r="G41" s="7">
        <v>0</v>
      </c>
      <c r="H41" t="s">
        <v>14</v>
      </c>
      <c r="I41" t="s">
        <v>125</v>
      </c>
      <c r="J41" t="s">
        <v>26</v>
      </c>
      <c r="K41" t="s">
        <v>27</v>
      </c>
      <c r="L41" t="s">
        <v>16</v>
      </c>
      <c r="M41" t="s">
        <v>44</v>
      </c>
    </row>
    <row r="42" spans="1:13" x14ac:dyDescent="0.35">
      <c r="A42" t="s">
        <v>130</v>
      </c>
      <c r="B42">
        <v>9136687343</v>
      </c>
      <c r="C42">
        <v>4077717881</v>
      </c>
      <c r="D42" t="s">
        <v>13</v>
      </c>
      <c r="E42" s="7">
        <v>465</v>
      </c>
      <c r="F42" s="7">
        <v>465</v>
      </c>
      <c r="G42" s="7">
        <v>0</v>
      </c>
      <c r="H42" t="s">
        <v>99</v>
      </c>
      <c r="I42" t="s">
        <v>122</v>
      </c>
      <c r="J42" t="s">
        <v>22</v>
      </c>
      <c r="K42" t="s">
        <v>16</v>
      </c>
      <c r="L42" t="s">
        <v>16</v>
      </c>
      <c r="M42" t="s">
        <v>17</v>
      </c>
    </row>
    <row r="43" spans="1:13" x14ac:dyDescent="0.35">
      <c r="A43" t="s">
        <v>131</v>
      </c>
      <c r="B43">
        <v>408094325</v>
      </c>
      <c r="C43">
        <v>4051116656</v>
      </c>
      <c r="D43" t="s">
        <v>67</v>
      </c>
      <c r="E43" s="7">
        <v>284</v>
      </c>
      <c r="F43" s="7">
        <v>284</v>
      </c>
      <c r="G43" s="7">
        <v>0</v>
      </c>
      <c r="H43" t="s">
        <v>70</v>
      </c>
      <c r="I43" t="s">
        <v>132</v>
      </c>
      <c r="J43" t="s">
        <v>43</v>
      </c>
      <c r="K43" t="s">
        <v>16</v>
      </c>
      <c r="L43" t="s">
        <v>16</v>
      </c>
      <c r="M43" t="s">
        <v>17</v>
      </c>
    </row>
    <row r="44" spans="1:13" x14ac:dyDescent="0.35">
      <c r="A44" t="s">
        <v>133</v>
      </c>
      <c r="B44">
        <v>5126071490</v>
      </c>
      <c r="C44">
        <v>8741252865</v>
      </c>
      <c r="D44" t="s">
        <v>19</v>
      </c>
      <c r="E44" s="7">
        <v>111</v>
      </c>
      <c r="F44" s="7">
        <v>90</v>
      </c>
      <c r="G44" s="7">
        <v>21</v>
      </c>
      <c r="H44" t="s">
        <v>56</v>
      </c>
      <c r="I44" t="s">
        <v>134</v>
      </c>
      <c r="J44" t="s">
        <v>43</v>
      </c>
      <c r="K44" t="s">
        <v>27</v>
      </c>
      <c r="L44" t="s">
        <v>894</v>
      </c>
      <c r="M44" t="s">
        <v>58</v>
      </c>
    </row>
    <row r="45" spans="1:13" x14ac:dyDescent="0.35">
      <c r="A45" t="s">
        <v>135</v>
      </c>
      <c r="B45">
        <v>4152060505</v>
      </c>
      <c r="C45">
        <v>7964379382</v>
      </c>
      <c r="D45" t="s">
        <v>24</v>
      </c>
      <c r="E45" s="7">
        <v>107</v>
      </c>
      <c r="F45" s="7">
        <v>107</v>
      </c>
      <c r="G45" s="7">
        <v>0</v>
      </c>
      <c r="H45" t="s">
        <v>53</v>
      </c>
      <c r="I45" t="s">
        <v>57</v>
      </c>
      <c r="J45" t="s">
        <v>26</v>
      </c>
      <c r="K45" t="s">
        <v>16</v>
      </c>
      <c r="L45" t="s">
        <v>16</v>
      </c>
      <c r="M45" t="s">
        <v>17</v>
      </c>
    </row>
    <row r="46" spans="1:13" x14ac:dyDescent="0.35">
      <c r="A46" t="s">
        <v>136</v>
      </c>
      <c r="B46">
        <v>6078976241</v>
      </c>
      <c r="C46">
        <v>9923426343</v>
      </c>
      <c r="D46" t="s">
        <v>13</v>
      </c>
      <c r="E46" s="7">
        <v>401</v>
      </c>
      <c r="F46" s="7">
        <v>354</v>
      </c>
      <c r="G46" s="7">
        <v>47</v>
      </c>
      <c r="H46" t="s">
        <v>20</v>
      </c>
      <c r="I46" t="s">
        <v>137</v>
      </c>
      <c r="J46" t="s">
        <v>43</v>
      </c>
      <c r="K46" t="s">
        <v>27</v>
      </c>
      <c r="L46" t="s">
        <v>894</v>
      </c>
      <c r="M46" t="s">
        <v>51</v>
      </c>
    </row>
    <row r="47" spans="1:13" x14ac:dyDescent="0.35">
      <c r="A47" t="s">
        <v>139</v>
      </c>
      <c r="B47">
        <v>9229693925</v>
      </c>
      <c r="C47">
        <v>1321174155</v>
      </c>
      <c r="D47" t="s">
        <v>24</v>
      </c>
      <c r="E47" s="7">
        <v>439</v>
      </c>
      <c r="F47" s="7">
        <v>439</v>
      </c>
      <c r="G47" s="7">
        <v>0</v>
      </c>
      <c r="H47" t="s">
        <v>35</v>
      </c>
      <c r="I47" t="s">
        <v>140</v>
      </c>
      <c r="J47" t="s">
        <v>26</v>
      </c>
      <c r="K47" t="s">
        <v>27</v>
      </c>
      <c r="L47" t="s">
        <v>16</v>
      </c>
      <c r="M47" t="s">
        <v>58</v>
      </c>
    </row>
    <row r="48" spans="1:13" x14ac:dyDescent="0.35">
      <c r="A48" t="s">
        <v>141</v>
      </c>
      <c r="B48">
        <v>2023714323</v>
      </c>
      <c r="C48">
        <v>8539029014</v>
      </c>
      <c r="D48" t="s">
        <v>13</v>
      </c>
      <c r="E48" s="7">
        <v>442</v>
      </c>
      <c r="F48" s="7">
        <v>442</v>
      </c>
      <c r="G48" s="7">
        <v>0</v>
      </c>
      <c r="H48" t="s">
        <v>56</v>
      </c>
      <c r="I48" t="s">
        <v>142</v>
      </c>
      <c r="J48" t="s">
        <v>43</v>
      </c>
      <c r="K48" t="s">
        <v>0</v>
      </c>
      <c r="L48" t="s">
        <v>16</v>
      </c>
      <c r="M48" t="s">
        <v>33</v>
      </c>
    </row>
    <row r="49" spans="1:13" x14ac:dyDescent="0.35">
      <c r="A49" t="s">
        <v>143</v>
      </c>
      <c r="B49">
        <v>3171908963</v>
      </c>
      <c r="C49">
        <v>1546370434</v>
      </c>
      <c r="D49" t="s">
        <v>24</v>
      </c>
      <c r="E49" s="7">
        <v>481</v>
      </c>
      <c r="F49" s="7">
        <v>0</v>
      </c>
      <c r="G49" s="7">
        <v>481</v>
      </c>
      <c r="H49" t="s">
        <v>53</v>
      </c>
      <c r="I49" t="s">
        <v>144</v>
      </c>
      <c r="J49" t="s">
        <v>26</v>
      </c>
      <c r="K49" t="s">
        <v>0</v>
      </c>
      <c r="L49" t="s">
        <v>0</v>
      </c>
      <c r="M49" t="s">
        <v>55</v>
      </c>
    </row>
    <row r="50" spans="1:13" x14ac:dyDescent="0.35">
      <c r="A50" t="s">
        <v>145</v>
      </c>
      <c r="B50">
        <v>1195127701</v>
      </c>
      <c r="C50">
        <v>6284611941</v>
      </c>
      <c r="D50" t="s">
        <v>24</v>
      </c>
      <c r="E50" s="7">
        <v>215</v>
      </c>
      <c r="F50" s="7">
        <v>169</v>
      </c>
      <c r="G50" s="7">
        <v>46</v>
      </c>
      <c r="H50" t="s">
        <v>56</v>
      </c>
      <c r="I50" t="s">
        <v>112</v>
      </c>
      <c r="J50" t="s">
        <v>22</v>
      </c>
      <c r="K50" t="s">
        <v>27</v>
      </c>
      <c r="L50" t="s">
        <v>894</v>
      </c>
      <c r="M50" t="s">
        <v>51</v>
      </c>
    </row>
    <row r="51" spans="1:13" x14ac:dyDescent="0.35">
      <c r="A51" t="s">
        <v>146</v>
      </c>
      <c r="B51">
        <v>2654498331</v>
      </c>
      <c r="C51">
        <v>3729784516</v>
      </c>
      <c r="D51" t="s">
        <v>30</v>
      </c>
      <c r="E51" s="7">
        <v>148</v>
      </c>
      <c r="F51" s="7">
        <v>148</v>
      </c>
      <c r="G51" s="7">
        <v>0</v>
      </c>
      <c r="H51" t="s">
        <v>20</v>
      </c>
      <c r="I51" t="s">
        <v>142</v>
      </c>
      <c r="J51" t="s">
        <v>22</v>
      </c>
      <c r="K51" t="s">
        <v>27</v>
      </c>
      <c r="L51" t="s">
        <v>16</v>
      </c>
      <c r="M51" t="s">
        <v>33</v>
      </c>
    </row>
    <row r="52" spans="1:13" x14ac:dyDescent="0.35">
      <c r="A52" t="s">
        <v>147</v>
      </c>
      <c r="B52">
        <v>708762197</v>
      </c>
      <c r="C52">
        <v>4205246369</v>
      </c>
      <c r="D52" t="s">
        <v>67</v>
      </c>
      <c r="E52" s="7">
        <v>372</v>
      </c>
      <c r="F52" s="7">
        <v>372</v>
      </c>
      <c r="G52" s="7">
        <v>0</v>
      </c>
      <c r="H52" t="s">
        <v>99</v>
      </c>
      <c r="I52" t="s">
        <v>15</v>
      </c>
      <c r="J52" t="s">
        <v>43</v>
      </c>
      <c r="K52" t="s">
        <v>16</v>
      </c>
      <c r="L52" t="s">
        <v>16</v>
      </c>
      <c r="M52" t="s">
        <v>17</v>
      </c>
    </row>
    <row r="53" spans="1:13" x14ac:dyDescent="0.35">
      <c r="A53" t="s">
        <v>148</v>
      </c>
      <c r="B53">
        <v>3441938166</v>
      </c>
      <c r="C53">
        <v>6776958126</v>
      </c>
      <c r="D53" t="s">
        <v>30</v>
      </c>
      <c r="E53" s="7">
        <v>229</v>
      </c>
      <c r="F53" s="7">
        <v>229</v>
      </c>
      <c r="G53" s="7">
        <v>0</v>
      </c>
      <c r="H53" t="s">
        <v>99</v>
      </c>
      <c r="I53" t="s">
        <v>149</v>
      </c>
      <c r="J53" t="s">
        <v>22</v>
      </c>
      <c r="K53" t="s">
        <v>0</v>
      </c>
      <c r="L53" t="s">
        <v>16</v>
      </c>
      <c r="M53" t="s">
        <v>40</v>
      </c>
    </row>
    <row r="54" spans="1:13" x14ac:dyDescent="0.35">
      <c r="A54" t="s">
        <v>150</v>
      </c>
      <c r="B54">
        <v>8696539003</v>
      </c>
      <c r="C54">
        <v>675301779</v>
      </c>
      <c r="D54" t="s">
        <v>13</v>
      </c>
      <c r="E54" s="7">
        <v>232</v>
      </c>
      <c r="F54" s="7">
        <v>0</v>
      </c>
      <c r="G54" s="7">
        <v>232</v>
      </c>
      <c r="H54" t="s">
        <v>99</v>
      </c>
      <c r="I54" t="s">
        <v>65</v>
      </c>
      <c r="J54" t="s">
        <v>26</v>
      </c>
      <c r="K54" t="s">
        <v>0</v>
      </c>
      <c r="L54" t="s">
        <v>0</v>
      </c>
      <c r="M54" t="s">
        <v>55</v>
      </c>
    </row>
    <row r="55" spans="1:13" x14ac:dyDescent="0.35">
      <c r="A55" t="s">
        <v>151</v>
      </c>
      <c r="B55">
        <v>8913310207</v>
      </c>
      <c r="C55">
        <v>7902267408</v>
      </c>
      <c r="D55" t="s">
        <v>19</v>
      </c>
      <c r="E55" s="7">
        <v>148</v>
      </c>
      <c r="F55" s="7">
        <v>148</v>
      </c>
      <c r="G55" s="7">
        <v>0</v>
      </c>
      <c r="H55" t="s">
        <v>20</v>
      </c>
      <c r="I55" t="s">
        <v>94</v>
      </c>
      <c r="J55" t="s">
        <v>26</v>
      </c>
      <c r="K55" t="s">
        <v>0</v>
      </c>
      <c r="L55" t="s">
        <v>16</v>
      </c>
      <c r="M55" t="s">
        <v>51</v>
      </c>
    </row>
    <row r="56" spans="1:13" x14ac:dyDescent="0.35">
      <c r="A56" t="s">
        <v>152</v>
      </c>
      <c r="B56">
        <v>7906330632</v>
      </c>
      <c r="C56">
        <v>7028319467</v>
      </c>
      <c r="D56" t="s">
        <v>19</v>
      </c>
      <c r="E56" s="7">
        <v>446</v>
      </c>
      <c r="F56" s="7">
        <v>276</v>
      </c>
      <c r="G56" s="7">
        <v>170</v>
      </c>
      <c r="H56" t="s">
        <v>14</v>
      </c>
      <c r="I56" t="s">
        <v>15</v>
      </c>
      <c r="J56" t="s">
        <v>43</v>
      </c>
      <c r="K56" t="s">
        <v>27</v>
      </c>
      <c r="L56" t="s">
        <v>894</v>
      </c>
      <c r="M56" t="s">
        <v>51</v>
      </c>
    </row>
    <row r="57" spans="1:13" x14ac:dyDescent="0.35">
      <c r="A57" t="s">
        <v>153</v>
      </c>
      <c r="B57">
        <v>4573858938</v>
      </c>
      <c r="C57">
        <v>5161266192</v>
      </c>
      <c r="D57" t="s">
        <v>30</v>
      </c>
      <c r="E57" s="7">
        <v>189</v>
      </c>
      <c r="F57" s="7">
        <v>189</v>
      </c>
      <c r="G57" s="7">
        <v>0</v>
      </c>
      <c r="H57" t="s">
        <v>14</v>
      </c>
      <c r="I57" t="s">
        <v>116</v>
      </c>
      <c r="J57" t="s">
        <v>26</v>
      </c>
      <c r="K57" t="s">
        <v>16</v>
      </c>
      <c r="L57" t="s">
        <v>16</v>
      </c>
      <c r="M57" t="s">
        <v>17</v>
      </c>
    </row>
    <row r="58" spans="1:13" x14ac:dyDescent="0.35">
      <c r="A58" t="s">
        <v>154</v>
      </c>
      <c r="B58">
        <v>2997473762</v>
      </c>
      <c r="C58">
        <v>9486352619</v>
      </c>
      <c r="D58" t="s">
        <v>19</v>
      </c>
      <c r="E58" s="7">
        <v>197</v>
      </c>
      <c r="F58" s="7">
        <v>0</v>
      </c>
      <c r="G58" s="7">
        <v>197</v>
      </c>
      <c r="H58" t="s">
        <v>38</v>
      </c>
      <c r="I58" t="s">
        <v>155</v>
      </c>
      <c r="J58" t="s">
        <v>26</v>
      </c>
      <c r="K58" t="s">
        <v>0</v>
      </c>
      <c r="L58" t="s">
        <v>0</v>
      </c>
      <c r="M58" t="s">
        <v>51</v>
      </c>
    </row>
    <row r="59" spans="1:13" x14ac:dyDescent="0.35">
      <c r="A59" t="s">
        <v>156</v>
      </c>
      <c r="B59">
        <v>12980889</v>
      </c>
      <c r="C59">
        <v>8819306236</v>
      </c>
      <c r="D59" t="s">
        <v>19</v>
      </c>
      <c r="E59" s="7">
        <v>465</v>
      </c>
      <c r="F59" s="7">
        <v>465</v>
      </c>
      <c r="G59" s="7">
        <v>0</v>
      </c>
      <c r="H59" t="s">
        <v>70</v>
      </c>
      <c r="I59" t="s">
        <v>157</v>
      </c>
      <c r="J59" t="s">
        <v>22</v>
      </c>
      <c r="K59" t="s">
        <v>0</v>
      </c>
      <c r="L59" t="s">
        <v>16</v>
      </c>
      <c r="M59" t="s">
        <v>51</v>
      </c>
    </row>
    <row r="60" spans="1:13" x14ac:dyDescent="0.35">
      <c r="A60" t="s">
        <v>158</v>
      </c>
      <c r="B60">
        <v>5280104835</v>
      </c>
      <c r="C60">
        <v>1789165968</v>
      </c>
      <c r="D60" t="s">
        <v>24</v>
      </c>
      <c r="E60" s="7">
        <v>343</v>
      </c>
      <c r="F60" s="7">
        <v>343</v>
      </c>
      <c r="G60" s="7">
        <v>0</v>
      </c>
      <c r="H60" t="s">
        <v>53</v>
      </c>
      <c r="I60" t="s">
        <v>159</v>
      </c>
      <c r="J60" t="s">
        <v>43</v>
      </c>
      <c r="K60" t="s">
        <v>16</v>
      </c>
      <c r="L60" t="s">
        <v>16</v>
      </c>
      <c r="M60" t="s">
        <v>17</v>
      </c>
    </row>
    <row r="61" spans="1:13" x14ac:dyDescent="0.35">
      <c r="A61" t="s">
        <v>160</v>
      </c>
      <c r="B61">
        <v>8112806771</v>
      </c>
      <c r="C61">
        <v>3777491682</v>
      </c>
      <c r="D61" t="s">
        <v>13</v>
      </c>
      <c r="E61" s="7">
        <v>146</v>
      </c>
      <c r="F61" s="7">
        <v>112</v>
      </c>
      <c r="G61" s="7">
        <v>34</v>
      </c>
      <c r="H61" t="s">
        <v>38</v>
      </c>
      <c r="I61" t="s">
        <v>81</v>
      </c>
      <c r="J61" t="s">
        <v>22</v>
      </c>
      <c r="K61" t="s">
        <v>0</v>
      </c>
      <c r="L61" t="s">
        <v>894</v>
      </c>
      <c r="M61" t="s">
        <v>58</v>
      </c>
    </row>
    <row r="62" spans="1:13" x14ac:dyDescent="0.35">
      <c r="A62" t="s">
        <v>162</v>
      </c>
      <c r="B62">
        <v>1421984485</v>
      </c>
      <c r="C62">
        <v>9846240441</v>
      </c>
      <c r="D62" t="s">
        <v>19</v>
      </c>
      <c r="E62" s="7">
        <v>211</v>
      </c>
      <c r="F62" s="7">
        <v>0</v>
      </c>
      <c r="G62" s="7">
        <v>211</v>
      </c>
      <c r="H62" t="s">
        <v>20</v>
      </c>
      <c r="I62" t="s">
        <v>100</v>
      </c>
      <c r="J62" t="s">
        <v>43</v>
      </c>
      <c r="K62" t="s">
        <v>0</v>
      </c>
      <c r="L62" t="s">
        <v>0</v>
      </c>
      <c r="M62" t="s">
        <v>55</v>
      </c>
    </row>
    <row r="63" spans="1:13" x14ac:dyDescent="0.35">
      <c r="A63" t="s">
        <v>163</v>
      </c>
      <c r="B63">
        <v>7430490581</v>
      </c>
      <c r="C63">
        <v>2607334190</v>
      </c>
      <c r="D63" t="s">
        <v>30</v>
      </c>
      <c r="E63" s="7">
        <v>262</v>
      </c>
      <c r="F63" s="7">
        <v>262</v>
      </c>
      <c r="G63" s="7">
        <v>0</v>
      </c>
      <c r="H63" t="s">
        <v>56</v>
      </c>
      <c r="I63" t="s">
        <v>109</v>
      </c>
      <c r="J63" t="s">
        <v>26</v>
      </c>
      <c r="K63" t="s">
        <v>0</v>
      </c>
      <c r="L63" t="s">
        <v>16</v>
      </c>
      <c r="M63" t="s">
        <v>58</v>
      </c>
    </row>
    <row r="64" spans="1:13" x14ac:dyDescent="0.35">
      <c r="A64" t="s">
        <v>164</v>
      </c>
      <c r="B64">
        <v>3379246963</v>
      </c>
      <c r="C64">
        <v>9529983798</v>
      </c>
      <c r="D64" t="s">
        <v>13</v>
      </c>
      <c r="E64" s="7">
        <v>247</v>
      </c>
      <c r="F64" s="7">
        <v>247</v>
      </c>
      <c r="G64" s="7">
        <v>0</v>
      </c>
      <c r="H64" t="s">
        <v>70</v>
      </c>
      <c r="I64" t="s">
        <v>165</v>
      </c>
      <c r="J64" t="s">
        <v>43</v>
      </c>
      <c r="K64" t="s">
        <v>16</v>
      </c>
      <c r="L64" t="s">
        <v>16</v>
      </c>
      <c r="M64" t="s">
        <v>17</v>
      </c>
    </row>
    <row r="65" spans="1:13" x14ac:dyDescent="0.35">
      <c r="A65" t="s">
        <v>166</v>
      </c>
      <c r="B65">
        <v>8568987770</v>
      </c>
      <c r="C65">
        <v>2319430074</v>
      </c>
      <c r="D65" t="s">
        <v>24</v>
      </c>
      <c r="E65" s="7">
        <v>261</v>
      </c>
      <c r="F65" s="7">
        <v>0</v>
      </c>
      <c r="G65" s="7">
        <v>261</v>
      </c>
      <c r="H65" t="s">
        <v>70</v>
      </c>
      <c r="I65" t="s">
        <v>57</v>
      </c>
      <c r="J65" t="s">
        <v>22</v>
      </c>
      <c r="K65" t="s">
        <v>27</v>
      </c>
      <c r="L65" t="s">
        <v>0</v>
      </c>
      <c r="M65" t="s">
        <v>28</v>
      </c>
    </row>
    <row r="66" spans="1:13" x14ac:dyDescent="0.35">
      <c r="A66" t="s">
        <v>167</v>
      </c>
      <c r="B66">
        <v>9141687046</v>
      </c>
      <c r="C66">
        <v>1594441000</v>
      </c>
      <c r="D66" t="s">
        <v>67</v>
      </c>
      <c r="E66" s="7">
        <v>390</v>
      </c>
      <c r="F66" s="7">
        <v>390</v>
      </c>
      <c r="G66" s="7">
        <v>0</v>
      </c>
      <c r="H66" t="s">
        <v>70</v>
      </c>
      <c r="I66" t="s">
        <v>168</v>
      </c>
      <c r="J66" t="s">
        <v>26</v>
      </c>
      <c r="K66" t="s">
        <v>0</v>
      </c>
      <c r="L66" t="s">
        <v>16</v>
      </c>
      <c r="M66" t="s">
        <v>51</v>
      </c>
    </row>
    <row r="67" spans="1:13" x14ac:dyDescent="0.35">
      <c r="A67" t="s">
        <v>169</v>
      </c>
      <c r="B67">
        <v>2934790390</v>
      </c>
      <c r="C67">
        <v>9281274132</v>
      </c>
      <c r="D67" t="s">
        <v>13</v>
      </c>
      <c r="E67" s="7">
        <v>258</v>
      </c>
      <c r="F67" s="7">
        <v>0</v>
      </c>
      <c r="G67" s="7">
        <v>258</v>
      </c>
      <c r="H67" t="s">
        <v>31</v>
      </c>
      <c r="I67" t="s">
        <v>83</v>
      </c>
      <c r="J67" t="s">
        <v>22</v>
      </c>
      <c r="K67" t="s">
        <v>27</v>
      </c>
      <c r="L67" t="s">
        <v>0</v>
      </c>
      <c r="M67" t="s">
        <v>51</v>
      </c>
    </row>
    <row r="68" spans="1:13" x14ac:dyDescent="0.35">
      <c r="A68" t="s">
        <v>170</v>
      </c>
      <c r="B68">
        <v>6054155533</v>
      </c>
      <c r="C68">
        <v>2988457310</v>
      </c>
      <c r="D68" t="s">
        <v>19</v>
      </c>
      <c r="E68" s="7">
        <v>216</v>
      </c>
      <c r="F68" s="7">
        <v>216</v>
      </c>
      <c r="G68" s="7">
        <v>0</v>
      </c>
      <c r="H68" t="s">
        <v>99</v>
      </c>
      <c r="I68" t="s">
        <v>134</v>
      </c>
      <c r="J68" t="s">
        <v>43</v>
      </c>
      <c r="K68" t="s">
        <v>27</v>
      </c>
      <c r="L68" t="s">
        <v>16</v>
      </c>
      <c r="M68" t="s">
        <v>33</v>
      </c>
    </row>
    <row r="69" spans="1:13" x14ac:dyDescent="0.35">
      <c r="A69" t="s">
        <v>171</v>
      </c>
      <c r="B69">
        <v>7250496484</v>
      </c>
      <c r="C69">
        <v>7875729862</v>
      </c>
      <c r="D69" t="s">
        <v>67</v>
      </c>
      <c r="E69" s="7">
        <v>154</v>
      </c>
      <c r="F69" s="7">
        <v>106</v>
      </c>
      <c r="G69" s="7">
        <v>48</v>
      </c>
      <c r="H69" t="s">
        <v>70</v>
      </c>
      <c r="I69" t="s">
        <v>76</v>
      </c>
      <c r="J69" t="s">
        <v>26</v>
      </c>
      <c r="K69" t="s">
        <v>27</v>
      </c>
      <c r="L69" t="s">
        <v>894</v>
      </c>
      <c r="M69" t="s">
        <v>126</v>
      </c>
    </row>
    <row r="70" spans="1:13" x14ac:dyDescent="0.35">
      <c r="A70" t="s">
        <v>172</v>
      </c>
      <c r="B70">
        <v>1708309636</v>
      </c>
      <c r="C70">
        <v>8858713626</v>
      </c>
      <c r="D70" t="s">
        <v>30</v>
      </c>
      <c r="E70" s="7">
        <v>231</v>
      </c>
      <c r="F70" s="7">
        <v>231</v>
      </c>
      <c r="G70" s="7">
        <v>0</v>
      </c>
      <c r="H70" t="s">
        <v>20</v>
      </c>
      <c r="I70" t="s">
        <v>173</v>
      </c>
      <c r="J70" t="s">
        <v>26</v>
      </c>
      <c r="K70" t="s">
        <v>16</v>
      </c>
      <c r="L70" t="s">
        <v>16</v>
      </c>
      <c r="M70" t="s">
        <v>17</v>
      </c>
    </row>
    <row r="71" spans="1:13" x14ac:dyDescent="0.35">
      <c r="A71" t="s">
        <v>174</v>
      </c>
      <c r="B71">
        <v>6621776033</v>
      </c>
      <c r="C71">
        <v>6848726866</v>
      </c>
      <c r="D71" t="s">
        <v>19</v>
      </c>
      <c r="E71" s="7">
        <v>241</v>
      </c>
      <c r="F71" s="7">
        <v>241</v>
      </c>
      <c r="G71" s="7">
        <v>0</v>
      </c>
      <c r="H71" t="s">
        <v>80</v>
      </c>
      <c r="I71" t="s">
        <v>25</v>
      </c>
      <c r="J71" t="s">
        <v>22</v>
      </c>
      <c r="K71" t="s">
        <v>27</v>
      </c>
      <c r="L71" t="s">
        <v>16</v>
      </c>
      <c r="M71" t="s">
        <v>44</v>
      </c>
    </row>
    <row r="72" spans="1:13" x14ac:dyDescent="0.35">
      <c r="A72" t="s">
        <v>175</v>
      </c>
      <c r="B72">
        <v>4239455371</v>
      </c>
      <c r="C72">
        <v>2026702062</v>
      </c>
      <c r="D72" t="s">
        <v>30</v>
      </c>
      <c r="E72" s="7">
        <v>348</v>
      </c>
      <c r="F72" s="7">
        <v>348</v>
      </c>
      <c r="G72" s="7">
        <v>0</v>
      </c>
      <c r="H72" t="s">
        <v>99</v>
      </c>
      <c r="I72" t="s">
        <v>72</v>
      </c>
      <c r="J72" t="s">
        <v>26</v>
      </c>
      <c r="K72" t="s">
        <v>27</v>
      </c>
      <c r="L72" t="s">
        <v>16</v>
      </c>
      <c r="M72" t="s">
        <v>51</v>
      </c>
    </row>
    <row r="73" spans="1:13" x14ac:dyDescent="0.35">
      <c r="A73" t="s">
        <v>176</v>
      </c>
      <c r="B73">
        <v>9655668275</v>
      </c>
      <c r="C73">
        <v>7892802927</v>
      </c>
      <c r="D73" t="s">
        <v>13</v>
      </c>
      <c r="E73" s="7">
        <v>451</v>
      </c>
      <c r="F73" s="7">
        <v>451</v>
      </c>
      <c r="G73" s="7">
        <v>0</v>
      </c>
      <c r="H73" t="s">
        <v>35</v>
      </c>
      <c r="I73" t="s">
        <v>177</v>
      </c>
      <c r="J73" t="s">
        <v>43</v>
      </c>
      <c r="K73" t="s">
        <v>0</v>
      </c>
      <c r="L73" t="s">
        <v>16</v>
      </c>
      <c r="M73" t="s">
        <v>55</v>
      </c>
    </row>
    <row r="74" spans="1:13" x14ac:dyDescent="0.35">
      <c r="A74" t="s">
        <v>178</v>
      </c>
      <c r="B74">
        <v>7144619443</v>
      </c>
      <c r="C74">
        <v>8693623852</v>
      </c>
      <c r="D74" t="s">
        <v>24</v>
      </c>
      <c r="E74" s="7">
        <v>237</v>
      </c>
      <c r="F74" s="7">
        <v>0</v>
      </c>
      <c r="G74" s="7">
        <v>237</v>
      </c>
      <c r="H74" t="s">
        <v>80</v>
      </c>
      <c r="I74" t="s">
        <v>15</v>
      </c>
      <c r="J74" t="s">
        <v>26</v>
      </c>
      <c r="K74" t="s">
        <v>27</v>
      </c>
      <c r="L74" t="s">
        <v>0</v>
      </c>
      <c r="M74" t="s">
        <v>55</v>
      </c>
    </row>
    <row r="75" spans="1:13" x14ac:dyDescent="0.35">
      <c r="A75" t="s">
        <v>179</v>
      </c>
      <c r="B75">
        <v>7026003411</v>
      </c>
      <c r="C75">
        <v>9916886713</v>
      </c>
      <c r="D75" t="s">
        <v>19</v>
      </c>
      <c r="E75" s="7">
        <v>480</v>
      </c>
      <c r="F75" s="7">
        <v>0</v>
      </c>
      <c r="G75" s="7">
        <v>480</v>
      </c>
      <c r="H75" t="s">
        <v>38</v>
      </c>
      <c r="I75" t="s">
        <v>180</v>
      </c>
      <c r="J75" t="s">
        <v>26</v>
      </c>
      <c r="K75" t="s">
        <v>0</v>
      </c>
      <c r="L75" t="s">
        <v>0</v>
      </c>
      <c r="M75" t="s">
        <v>40</v>
      </c>
    </row>
    <row r="76" spans="1:13" x14ac:dyDescent="0.35">
      <c r="A76" t="s">
        <v>181</v>
      </c>
      <c r="B76">
        <v>1695998542</v>
      </c>
      <c r="C76">
        <v>9479375930</v>
      </c>
      <c r="D76" t="s">
        <v>19</v>
      </c>
      <c r="E76" s="7">
        <v>319</v>
      </c>
      <c r="F76" s="7">
        <v>217</v>
      </c>
      <c r="G76" s="7">
        <v>102</v>
      </c>
      <c r="H76" t="s">
        <v>56</v>
      </c>
      <c r="I76" t="s">
        <v>76</v>
      </c>
      <c r="J76" t="s">
        <v>26</v>
      </c>
      <c r="K76" t="s">
        <v>0</v>
      </c>
      <c r="L76" t="s">
        <v>894</v>
      </c>
      <c r="M76" t="s">
        <v>33</v>
      </c>
    </row>
    <row r="77" spans="1:13" x14ac:dyDescent="0.35">
      <c r="A77" t="s">
        <v>182</v>
      </c>
      <c r="B77">
        <v>4938683932</v>
      </c>
      <c r="C77">
        <v>7807793396</v>
      </c>
      <c r="D77" t="s">
        <v>30</v>
      </c>
      <c r="E77" s="7">
        <v>342</v>
      </c>
      <c r="F77" s="7">
        <v>342</v>
      </c>
      <c r="G77" s="7">
        <v>0</v>
      </c>
      <c r="H77" t="s">
        <v>80</v>
      </c>
      <c r="I77" t="s">
        <v>183</v>
      </c>
      <c r="J77" t="s">
        <v>26</v>
      </c>
      <c r="K77" t="s">
        <v>27</v>
      </c>
      <c r="L77" t="s">
        <v>16</v>
      </c>
      <c r="M77" t="s">
        <v>126</v>
      </c>
    </row>
    <row r="78" spans="1:13" x14ac:dyDescent="0.35">
      <c r="A78" t="s">
        <v>184</v>
      </c>
      <c r="B78">
        <v>1101279902</v>
      </c>
      <c r="C78">
        <v>537893497</v>
      </c>
      <c r="D78" t="s">
        <v>24</v>
      </c>
      <c r="E78" s="7">
        <v>460</v>
      </c>
      <c r="F78" s="7">
        <v>373</v>
      </c>
      <c r="G78" s="7">
        <v>87</v>
      </c>
      <c r="H78" t="s">
        <v>14</v>
      </c>
      <c r="I78" t="s">
        <v>185</v>
      </c>
      <c r="J78" t="s">
        <v>43</v>
      </c>
      <c r="K78" t="s">
        <v>0</v>
      </c>
      <c r="L78" t="s">
        <v>894</v>
      </c>
      <c r="M78" t="s">
        <v>58</v>
      </c>
    </row>
    <row r="79" spans="1:13" x14ac:dyDescent="0.35">
      <c r="A79" t="s">
        <v>186</v>
      </c>
      <c r="B79">
        <v>8307032775</v>
      </c>
      <c r="C79">
        <v>686354499</v>
      </c>
      <c r="D79" t="s">
        <v>19</v>
      </c>
      <c r="E79" s="7">
        <v>228</v>
      </c>
      <c r="F79" s="7">
        <v>0</v>
      </c>
      <c r="G79" s="7">
        <v>228</v>
      </c>
      <c r="H79" t="s">
        <v>38</v>
      </c>
      <c r="I79" t="s">
        <v>187</v>
      </c>
      <c r="J79" t="s">
        <v>43</v>
      </c>
      <c r="K79" t="s">
        <v>0</v>
      </c>
      <c r="L79" t="s">
        <v>0</v>
      </c>
      <c r="M79" t="s">
        <v>44</v>
      </c>
    </row>
    <row r="80" spans="1:13" x14ac:dyDescent="0.35">
      <c r="A80" t="s">
        <v>188</v>
      </c>
      <c r="B80">
        <v>557220025</v>
      </c>
      <c r="C80">
        <v>6572802735</v>
      </c>
      <c r="D80" t="s">
        <v>13</v>
      </c>
      <c r="E80" s="7">
        <v>304</v>
      </c>
      <c r="F80" s="7">
        <v>304</v>
      </c>
      <c r="G80" s="7">
        <v>0</v>
      </c>
      <c r="H80" t="s">
        <v>20</v>
      </c>
      <c r="I80" t="s">
        <v>90</v>
      </c>
      <c r="J80" t="s">
        <v>43</v>
      </c>
      <c r="K80" t="s">
        <v>16</v>
      </c>
      <c r="L80" t="s">
        <v>16</v>
      </c>
      <c r="M80" t="s">
        <v>17</v>
      </c>
    </row>
    <row r="81" spans="1:13" x14ac:dyDescent="0.35">
      <c r="A81" t="s">
        <v>190</v>
      </c>
      <c r="B81">
        <v>109000162</v>
      </c>
      <c r="C81">
        <v>4961090391</v>
      </c>
      <c r="D81" t="s">
        <v>67</v>
      </c>
      <c r="E81" s="7">
        <v>129</v>
      </c>
      <c r="F81" s="7">
        <v>129</v>
      </c>
      <c r="G81" s="7">
        <v>0</v>
      </c>
      <c r="H81" t="s">
        <v>31</v>
      </c>
      <c r="I81" t="s">
        <v>191</v>
      </c>
      <c r="J81" t="s">
        <v>22</v>
      </c>
      <c r="K81" t="s">
        <v>0</v>
      </c>
      <c r="L81" t="s">
        <v>16</v>
      </c>
      <c r="M81" t="s">
        <v>28</v>
      </c>
    </row>
    <row r="82" spans="1:13" x14ac:dyDescent="0.35">
      <c r="A82" t="s">
        <v>192</v>
      </c>
      <c r="B82">
        <v>9013578440</v>
      </c>
      <c r="C82">
        <v>5425052193</v>
      </c>
      <c r="D82" t="s">
        <v>24</v>
      </c>
      <c r="E82" s="7">
        <v>335</v>
      </c>
      <c r="F82" s="7">
        <v>335</v>
      </c>
      <c r="G82" s="7">
        <v>0</v>
      </c>
      <c r="H82" t="s">
        <v>70</v>
      </c>
      <c r="I82" t="s">
        <v>110</v>
      </c>
      <c r="J82" t="s">
        <v>43</v>
      </c>
      <c r="K82" t="s">
        <v>27</v>
      </c>
      <c r="L82" t="s">
        <v>16</v>
      </c>
      <c r="M82" t="s">
        <v>126</v>
      </c>
    </row>
    <row r="83" spans="1:13" x14ac:dyDescent="0.35">
      <c r="A83" t="s">
        <v>193</v>
      </c>
      <c r="B83">
        <v>6841929195</v>
      </c>
      <c r="C83">
        <v>4948740224</v>
      </c>
      <c r="D83" t="s">
        <v>19</v>
      </c>
      <c r="E83" s="7">
        <v>409</v>
      </c>
      <c r="F83" s="7">
        <v>409</v>
      </c>
      <c r="G83" s="7">
        <v>0</v>
      </c>
      <c r="H83" t="s">
        <v>56</v>
      </c>
      <c r="I83" t="s">
        <v>122</v>
      </c>
      <c r="J83" t="s">
        <v>43</v>
      </c>
      <c r="K83" t="s">
        <v>0</v>
      </c>
      <c r="L83" t="s">
        <v>16</v>
      </c>
      <c r="M83" t="s">
        <v>28</v>
      </c>
    </row>
    <row r="84" spans="1:13" x14ac:dyDescent="0.35">
      <c r="A84" t="s">
        <v>194</v>
      </c>
      <c r="B84">
        <v>1053412984</v>
      </c>
      <c r="C84">
        <v>768677968</v>
      </c>
      <c r="D84" t="s">
        <v>13</v>
      </c>
      <c r="E84" s="7">
        <v>429</v>
      </c>
      <c r="F84" s="7">
        <v>429</v>
      </c>
      <c r="G84" s="7">
        <v>0</v>
      </c>
      <c r="H84" t="s">
        <v>31</v>
      </c>
      <c r="I84" t="s">
        <v>86</v>
      </c>
      <c r="J84" t="s">
        <v>26</v>
      </c>
      <c r="K84" t="s">
        <v>16</v>
      </c>
      <c r="L84" t="s">
        <v>16</v>
      </c>
      <c r="M84" t="s">
        <v>17</v>
      </c>
    </row>
    <row r="85" spans="1:13" x14ac:dyDescent="0.35">
      <c r="A85" t="s">
        <v>195</v>
      </c>
      <c r="B85">
        <v>4547631680</v>
      </c>
      <c r="C85">
        <v>3263433478</v>
      </c>
      <c r="D85" t="s">
        <v>67</v>
      </c>
      <c r="E85" s="7">
        <v>211</v>
      </c>
      <c r="F85" s="7">
        <v>211</v>
      </c>
      <c r="G85" s="7">
        <v>0</v>
      </c>
      <c r="H85" t="s">
        <v>70</v>
      </c>
      <c r="I85" t="s">
        <v>106</v>
      </c>
      <c r="J85" t="s">
        <v>26</v>
      </c>
      <c r="K85" t="s">
        <v>27</v>
      </c>
      <c r="L85" t="s">
        <v>16</v>
      </c>
      <c r="M85" t="s">
        <v>28</v>
      </c>
    </row>
    <row r="86" spans="1:13" x14ac:dyDescent="0.35">
      <c r="A86" t="s">
        <v>196</v>
      </c>
      <c r="B86">
        <v>274330541</v>
      </c>
      <c r="C86">
        <v>7308527471</v>
      </c>
      <c r="D86" t="s">
        <v>19</v>
      </c>
      <c r="E86" s="7">
        <v>398</v>
      </c>
      <c r="F86" s="7">
        <v>398</v>
      </c>
      <c r="G86" s="7">
        <v>0</v>
      </c>
      <c r="H86" t="s">
        <v>70</v>
      </c>
      <c r="I86" t="s">
        <v>183</v>
      </c>
      <c r="J86" t="s">
        <v>43</v>
      </c>
      <c r="K86" t="s">
        <v>16</v>
      </c>
      <c r="L86" t="s">
        <v>16</v>
      </c>
      <c r="M86" t="s">
        <v>17</v>
      </c>
    </row>
    <row r="87" spans="1:13" x14ac:dyDescent="0.35">
      <c r="A87" t="s">
        <v>197</v>
      </c>
      <c r="B87">
        <v>3074874117</v>
      </c>
      <c r="C87">
        <v>6653991271</v>
      </c>
      <c r="D87" t="s">
        <v>19</v>
      </c>
      <c r="E87" s="7">
        <v>342</v>
      </c>
      <c r="F87" s="7">
        <v>267</v>
      </c>
      <c r="G87" s="7">
        <v>75</v>
      </c>
      <c r="H87" t="s">
        <v>53</v>
      </c>
      <c r="I87" t="s">
        <v>96</v>
      </c>
      <c r="J87" t="s">
        <v>26</v>
      </c>
      <c r="K87" t="s">
        <v>0</v>
      </c>
      <c r="L87" t="s">
        <v>894</v>
      </c>
      <c r="M87" t="s">
        <v>58</v>
      </c>
    </row>
    <row r="88" spans="1:13" x14ac:dyDescent="0.35">
      <c r="A88" t="s">
        <v>198</v>
      </c>
      <c r="B88">
        <v>7499040704</v>
      </c>
      <c r="C88">
        <v>5034237060</v>
      </c>
      <c r="D88" t="s">
        <v>30</v>
      </c>
      <c r="E88" s="7">
        <v>206</v>
      </c>
      <c r="F88" s="7">
        <v>150</v>
      </c>
      <c r="G88" s="7">
        <v>56</v>
      </c>
      <c r="H88" t="s">
        <v>38</v>
      </c>
      <c r="I88" t="s">
        <v>199</v>
      </c>
      <c r="J88" t="s">
        <v>22</v>
      </c>
      <c r="K88" t="s">
        <v>0</v>
      </c>
      <c r="L88" t="s">
        <v>894</v>
      </c>
      <c r="M88" t="s">
        <v>40</v>
      </c>
    </row>
    <row r="89" spans="1:13" x14ac:dyDescent="0.35">
      <c r="A89" t="s">
        <v>200</v>
      </c>
      <c r="B89">
        <v>3146118709</v>
      </c>
      <c r="C89">
        <v>7178608739</v>
      </c>
      <c r="D89" t="s">
        <v>19</v>
      </c>
      <c r="E89" s="7">
        <v>211</v>
      </c>
      <c r="F89" s="7">
        <v>211</v>
      </c>
      <c r="G89" s="7">
        <v>0</v>
      </c>
      <c r="H89" t="s">
        <v>14</v>
      </c>
      <c r="I89" t="s">
        <v>159</v>
      </c>
      <c r="J89" t="s">
        <v>43</v>
      </c>
      <c r="K89" t="s">
        <v>27</v>
      </c>
      <c r="L89" t="s">
        <v>16</v>
      </c>
      <c r="M89" t="s">
        <v>44</v>
      </c>
    </row>
    <row r="90" spans="1:13" x14ac:dyDescent="0.35">
      <c r="A90" t="s">
        <v>202</v>
      </c>
      <c r="B90">
        <v>7312963265</v>
      </c>
      <c r="C90">
        <v>2770595414</v>
      </c>
      <c r="D90" t="s">
        <v>19</v>
      </c>
      <c r="E90" s="7">
        <v>289</v>
      </c>
      <c r="F90" s="7">
        <v>289</v>
      </c>
      <c r="G90" s="7">
        <v>0</v>
      </c>
      <c r="H90" t="s">
        <v>56</v>
      </c>
      <c r="I90" t="s">
        <v>203</v>
      </c>
      <c r="J90" t="s">
        <v>43</v>
      </c>
      <c r="K90" t="s">
        <v>16</v>
      </c>
      <c r="L90" t="s">
        <v>16</v>
      </c>
      <c r="M90" t="s">
        <v>17</v>
      </c>
    </row>
    <row r="91" spans="1:13" x14ac:dyDescent="0.35">
      <c r="A91" t="s">
        <v>204</v>
      </c>
      <c r="B91">
        <v>8091673296</v>
      </c>
      <c r="C91">
        <v>5236895806</v>
      </c>
      <c r="D91" t="s">
        <v>24</v>
      </c>
      <c r="E91" s="7">
        <v>379</v>
      </c>
      <c r="F91" s="7">
        <v>379</v>
      </c>
      <c r="G91" s="7">
        <v>0</v>
      </c>
      <c r="H91" t="s">
        <v>56</v>
      </c>
      <c r="I91" t="s">
        <v>32</v>
      </c>
      <c r="J91" t="s">
        <v>26</v>
      </c>
      <c r="K91" t="s">
        <v>0</v>
      </c>
      <c r="L91" t="s">
        <v>16</v>
      </c>
      <c r="M91" t="s">
        <v>40</v>
      </c>
    </row>
    <row r="92" spans="1:13" x14ac:dyDescent="0.35">
      <c r="A92" t="s">
        <v>205</v>
      </c>
      <c r="B92">
        <v>5413249070</v>
      </c>
      <c r="C92">
        <v>2799029082</v>
      </c>
      <c r="D92" t="s">
        <v>24</v>
      </c>
      <c r="E92" s="7">
        <v>476</v>
      </c>
      <c r="F92" s="7">
        <v>0</v>
      </c>
      <c r="G92" s="7">
        <v>476</v>
      </c>
      <c r="H92" t="s">
        <v>70</v>
      </c>
      <c r="I92" t="s">
        <v>138</v>
      </c>
      <c r="J92" t="s">
        <v>43</v>
      </c>
      <c r="K92" t="s">
        <v>27</v>
      </c>
      <c r="L92" t="s">
        <v>0</v>
      </c>
      <c r="M92" t="s">
        <v>28</v>
      </c>
    </row>
    <row r="93" spans="1:13" x14ac:dyDescent="0.35">
      <c r="A93" t="s">
        <v>206</v>
      </c>
      <c r="B93">
        <v>8466197657</v>
      </c>
      <c r="C93">
        <v>9730487757</v>
      </c>
      <c r="D93" t="s">
        <v>13</v>
      </c>
      <c r="E93" s="7">
        <v>464</v>
      </c>
      <c r="F93" s="7">
        <v>464</v>
      </c>
      <c r="G93" s="7">
        <v>0</v>
      </c>
      <c r="H93" t="s">
        <v>14</v>
      </c>
      <c r="I93" t="s">
        <v>137</v>
      </c>
      <c r="J93" t="s">
        <v>43</v>
      </c>
      <c r="K93" t="s">
        <v>16</v>
      </c>
      <c r="L93" t="s">
        <v>16</v>
      </c>
      <c r="M93" t="s">
        <v>17</v>
      </c>
    </row>
    <row r="94" spans="1:13" x14ac:dyDescent="0.35">
      <c r="A94" t="s">
        <v>207</v>
      </c>
      <c r="B94">
        <v>2188473191</v>
      </c>
      <c r="C94">
        <v>7023401976</v>
      </c>
      <c r="D94" t="s">
        <v>67</v>
      </c>
      <c r="E94" s="7">
        <v>293</v>
      </c>
      <c r="F94" s="7">
        <v>293</v>
      </c>
      <c r="G94" s="7">
        <v>0</v>
      </c>
      <c r="H94" t="s">
        <v>31</v>
      </c>
      <c r="I94" t="s">
        <v>149</v>
      </c>
      <c r="J94" t="s">
        <v>26</v>
      </c>
      <c r="K94" t="s">
        <v>0</v>
      </c>
      <c r="L94" t="s">
        <v>16</v>
      </c>
      <c r="M94" t="s">
        <v>33</v>
      </c>
    </row>
    <row r="95" spans="1:13" x14ac:dyDescent="0.35">
      <c r="A95" t="s">
        <v>208</v>
      </c>
      <c r="B95">
        <v>6752221216</v>
      </c>
      <c r="C95">
        <v>3603720377</v>
      </c>
      <c r="D95" t="s">
        <v>24</v>
      </c>
      <c r="E95" s="7">
        <v>152</v>
      </c>
      <c r="F95" s="7">
        <v>152</v>
      </c>
      <c r="G95" s="7">
        <v>0</v>
      </c>
      <c r="H95" t="s">
        <v>20</v>
      </c>
      <c r="I95" t="s">
        <v>72</v>
      </c>
      <c r="J95" t="s">
        <v>22</v>
      </c>
      <c r="K95" t="s">
        <v>27</v>
      </c>
      <c r="L95" t="s">
        <v>16</v>
      </c>
      <c r="M95" t="s">
        <v>58</v>
      </c>
    </row>
    <row r="96" spans="1:13" x14ac:dyDescent="0.35">
      <c r="A96" t="s">
        <v>209</v>
      </c>
      <c r="B96">
        <v>1010489751</v>
      </c>
      <c r="C96">
        <v>3742237646</v>
      </c>
      <c r="D96" t="s">
        <v>24</v>
      </c>
      <c r="E96" s="7">
        <v>314</v>
      </c>
      <c r="F96" s="7">
        <v>314</v>
      </c>
      <c r="G96" s="7">
        <v>0</v>
      </c>
      <c r="H96" t="s">
        <v>70</v>
      </c>
      <c r="I96" t="s">
        <v>94</v>
      </c>
      <c r="J96" t="s">
        <v>43</v>
      </c>
      <c r="K96" t="s">
        <v>27</v>
      </c>
      <c r="L96" t="s">
        <v>16</v>
      </c>
      <c r="M96" t="s">
        <v>44</v>
      </c>
    </row>
    <row r="97" spans="1:13" x14ac:dyDescent="0.35">
      <c r="A97" t="s">
        <v>210</v>
      </c>
      <c r="B97">
        <v>6982903968</v>
      </c>
      <c r="C97">
        <v>8213224683</v>
      </c>
      <c r="D97" t="s">
        <v>30</v>
      </c>
      <c r="E97" s="7">
        <v>498</v>
      </c>
      <c r="F97" s="7">
        <v>0</v>
      </c>
      <c r="G97" s="7">
        <v>498</v>
      </c>
      <c r="H97" t="s">
        <v>14</v>
      </c>
      <c r="I97" t="s">
        <v>128</v>
      </c>
      <c r="J97" t="s">
        <v>26</v>
      </c>
      <c r="K97" t="s">
        <v>27</v>
      </c>
      <c r="L97" t="s">
        <v>0</v>
      </c>
      <c r="M97" t="s">
        <v>33</v>
      </c>
    </row>
    <row r="98" spans="1:13" x14ac:dyDescent="0.35">
      <c r="A98" t="s">
        <v>211</v>
      </c>
      <c r="B98">
        <v>5996077836</v>
      </c>
      <c r="C98">
        <v>4508676436</v>
      </c>
      <c r="D98" t="s">
        <v>19</v>
      </c>
      <c r="E98" s="7">
        <v>484</v>
      </c>
      <c r="F98" s="7">
        <v>315</v>
      </c>
      <c r="G98" s="7">
        <v>169</v>
      </c>
      <c r="H98" t="s">
        <v>14</v>
      </c>
      <c r="I98" t="s">
        <v>168</v>
      </c>
      <c r="J98" t="s">
        <v>26</v>
      </c>
      <c r="K98" t="s">
        <v>27</v>
      </c>
      <c r="L98" t="s">
        <v>894</v>
      </c>
      <c r="M98" t="s">
        <v>33</v>
      </c>
    </row>
    <row r="99" spans="1:13" x14ac:dyDescent="0.35">
      <c r="A99" t="s">
        <v>212</v>
      </c>
      <c r="B99">
        <v>5702735569</v>
      </c>
      <c r="C99">
        <v>9733547622</v>
      </c>
      <c r="D99" t="s">
        <v>19</v>
      </c>
      <c r="E99" s="7">
        <v>415</v>
      </c>
      <c r="F99" s="7">
        <v>415</v>
      </c>
      <c r="G99" s="7">
        <v>0</v>
      </c>
      <c r="H99" t="s">
        <v>35</v>
      </c>
      <c r="I99" t="s">
        <v>42</v>
      </c>
      <c r="J99" t="s">
        <v>43</v>
      </c>
      <c r="K99" t="s">
        <v>16</v>
      </c>
      <c r="L99" t="s">
        <v>16</v>
      </c>
      <c r="M99" t="s">
        <v>17</v>
      </c>
    </row>
    <row r="100" spans="1:13" x14ac:dyDescent="0.35">
      <c r="A100" t="s">
        <v>213</v>
      </c>
      <c r="B100">
        <v>4795200970</v>
      </c>
      <c r="C100">
        <v>1651813906</v>
      </c>
      <c r="D100" t="s">
        <v>30</v>
      </c>
      <c r="E100" s="7">
        <v>274</v>
      </c>
      <c r="F100" s="7">
        <v>165</v>
      </c>
      <c r="G100" s="7">
        <v>109</v>
      </c>
      <c r="H100" t="s">
        <v>38</v>
      </c>
      <c r="I100" t="s">
        <v>177</v>
      </c>
      <c r="J100" t="s">
        <v>26</v>
      </c>
      <c r="K100" t="s">
        <v>0</v>
      </c>
      <c r="L100" t="s">
        <v>894</v>
      </c>
      <c r="M100" t="s">
        <v>55</v>
      </c>
    </row>
    <row r="101" spans="1:13" x14ac:dyDescent="0.35">
      <c r="A101" t="s">
        <v>214</v>
      </c>
      <c r="B101">
        <v>3208941189</v>
      </c>
      <c r="C101">
        <v>6276083979</v>
      </c>
      <c r="D101" t="s">
        <v>19</v>
      </c>
      <c r="E101" s="7">
        <v>273</v>
      </c>
      <c r="F101" s="7">
        <v>273</v>
      </c>
      <c r="G101" s="7">
        <v>0</v>
      </c>
      <c r="H101" t="s">
        <v>56</v>
      </c>
      <c r="I101" t="s">
        <v>215</v>
      </c>
      <c r="J101" t="s">
        <v>43</v>
      </c>
      <c r="K101" t="s">
        <v>16</v>
      </c>
      <c r="L101" t="s">
        <v>16</v>
      </c>
      <c r="M101" t="s">
        <v>17</v>
      </c>
    </row>
    <row r="102" spans="1:13" x14ac:dyDescent="0.35">
      <c r="A102" t="s">
        <v>217</v>
      </c>
      <c r="B102">
        <v>6763652717</v>
      </c>
      <c r="C102">
        <v>7851510784</v>
      </c>
      <c r="D102" t="s">
        <v>24</v>
      </c>
      <c r="E102" s="7">
        <v>359</v>
      </c>
      <c r="F102" s="7">
        <v>359</v>
      </c>
      <c r="G102" s="7">
        <v>0</v>
      </c>
      <c r="H102" t="s">
        <v>56</v>
      </c>
      <c r="I102" t="s">
        <v>142</v>
      </c>
      <c r="J102" t="s">
        <v>22</v>
      </c>
      <c r="K102" t="s">
        <v>0</v>
      </c>
      <c r="L102" t="s">
        <v>16</v>
      </c>
      <c r="M102" t="s">
        <v>33</v>
      </c>
    </row>
    <row r="103" spans="1:13" x14ac:dyDescent="0.35">
      <c r="A103" t="s">
        <v>218</v>
      </c>
      <c r="B103">
        <v>3824043181</v>
      </c>
      <c r="C103">
        <v>472273704</v>
      </c>
      <c r="D103" t="s">
        <v>67</v>
      </c>
      <c r="E103" s="7">
        <v>228</v>
      </c>
      <c r="F103" s="7">
        <v>228</v>
      </c>
      <c r="G103" s="7">
        <v>0</v>
      </c>
      <c r="H103" t="s">
        <v>35</v>
      </c>
      <c r="I103" t="s">
        <v>114</v>
      </c>
      <c r="J103" t="s">
        <v>26</v>
      </c>
      <c r="K103" t="s">
        <v>27</v>
      </c>
      <c r="L103" t="s">
        <v>16</v>
      </c>
      <c r="M103" t="s">
        <v>51</v>
      </c>
    </row>
    <row r="104" spans="1:13" x14ac:dyDescent="0.35">
      <c r="A104" t="s">
        <v>219</v>
      </c>
      <c r="B104">
        <v>4760458830</v>
      </c>
      <c r="C104">
        <v>9407266002</v>
      </c>
      <c r="D104" t="s">
        <v>30</v>
      </c>
      <c r="E104" s="7">
        <v>455</v>
      </c>
      <c r="F104" s="7">
        <v>455</v>
      </c>
      <c r="G104" s="7">
        <v>0</v>
      </c>
      <c r="H104" t="s">
        <v>80</v>
      </c>
      <c r="I104" t="s">
        <v>220</v>
      </c>
      <c r="J104" t="s">
        <v>43</v>
      </c>
      <c r="K104" t="s">
        <v>0</v>
      </c>
      <c r="L104" t="s">
        <v>16</v>
      </c>
      <c r="M104" t="s">
        <v>44</v>
      </c>
    </row>
    <row r="105" spans="1:13" x14ac:dyDescent="0.35">
      <c r="A105" t="s">
        <v>222</v>
      </c>
      <c r="B105">
        <v>474022366</v>
      </c>
      <c r="C105">
        <v>2775995537</v>
      </c>
      <c r="D105" t="s">
        <v>67</v>
      </c>
      <c r="E105" s="7">
        <v>156</v>
      </c>
      <c r="F105" s="7">
        <v>110</v>
      </c>
      <c r="G105" s="7">
        <v>46</v>
      </c>
      <c r="H105" t="s">
        <v>70</v>
      </c>
      <c r="I105" t="s">
        <v>110</v>
      </c>
      <c r="J105" t="s">
        <v>22</v>
      </c>
      <c r="K105" t="s">
        <v>0</v>
      </c>
      <c r="L105" t="s">
        <v>894</v>
      </c>
      <c r="M105" t="s">
        <v>51</v>
      </c>
    </row>
    <row r="106" spans="1:13" x14ac:dyDescent="0.35">
      <c r="A106" t="s">
        <v>223</v>
      </c>
      <c r="B106">
        <v>5370701135</v>
      </c>
      <c r="C106">
        <v>1549886899</v>
      </c>
      <c r="D106" t="s">
        <v>19</v>
      </c>
      <c r="E106" s="7">
        <v>244</v>
      </c>
      <c r="F106" s="7">
        <v>244</v>
      </c>
      <c r="G106" s="7">
        <v>0</v>
      </c>
      <c r="H106" t="s">
        <v>31</v>
      </c>
      <c r="I106" t="s">
        <v>105</v>
      </c>
      <c r="J106" t="s">
        <v>43</v>
      </c>
      <c r="K106" t="s">
        <v>0</v>
      </c>
      <c r="L106" t="s">
        <v>16</v>
      </c>
      <c r="M106" t="s">
        <v>40</v>
      </c>
    </row>
    <row r="107" spans="1:13" x14ac:dyDescent="0.35">
      <c r="A107" t="s">
        <v>224</v>
      </c>
      <c r="B107">
        <v>2062487711</v>
      </c>
      <c r="C107">
        <v>514376388</v>
      </c>
      <c r="D107" t="s">
        <v>67</v>
      </c>
      <c r="E107" s="7">
        <v>188</v>
      </c>
      <c r="F107" s="7">
        <v>0</v>
      </c>
      <c r="G107" s="7">
        <v>188</v>
      </c>
      <c r="H107" t="s">
        <v>70</v>
      </c>
      <c r="I107" t="s">
        <v>86</v>
      </c>
      <c r="J107" t="s">
        <v>22</v>
      </c>
      <c r="K107" t="s">
        <v>27</v>
      </c>
      <c r="L107" t="s">
        <v>0</v>
      </c>
      <c r="M107" t="s">
        <v>40</v>
      </c>
    </row>
    <row r="108" spans="1:13" x14ac:dyDescent="0.35">
      <c r="A108" t="s">
        <v>225</v>
      </c>
      <c r="B108">
        <v>7851524311</v>
      </c>
      <c r="C108">
        <v>3647650457</v>
      </c>
      <c r="D108" t="s">
        <v>67</v>
      </c>
      <c r="E108" s="7">
        <v>178</v>
      </c>
      <c r="F108" s="7">
        <v>0</v>
      </c>
      <c r="G108" s="7">
        <v>178</v>
      </c>
      <c r="H108" t="s">
        <v>70</v>
      </c>
      <c r="I108" t="s">
        <v>159</v>
      </c>
      <c r="J108" t="s">
        <v>43</v>
      </c>
      <c r="K108" t="s">
        <v>0</v>
      </c>
      <c r="L108" t="s">
        <v>0</v>
      </c>
      <c r="M108" t="s">
        <v>44</v>
      </c>
    </row>
    <row r="109" spans="1:13" x14ac:dyDescent="0.35">
      <c r="A109" t="s">
        <v>226</v>
      </c>
      <c r="B109">
        <v>6132207362</v>
      </c>
      <c r="C109">
        <v>8928639891</v>
      </c>
      <c r="D109" t="s">
        <v>30</v>
      </c>
      <c r="E109" s="7">
        <v>396</v>
      </c>
      <c r="F109" s="7">
        <v>220</v>
      </c>
      <c r="G109" s="7">
        <v>176</v>
      </c>
      <c r="H109" t="s">
        <v>38</v>
      </c>
      <c r="I109" t="s">
        <v>74</v>
      </c>
      <c r="J109" t="s">
        <v>22</v>
      </c>
      <c r="K109" t="s">
        <v>27</v>
      </c>
      <c r="L109" t="s">
        <v>894</v>
      </c>
      <c r="M109" t="s">
        <v>55</v>
      </c>
    </row>
    <row r="110" spans="1:13" x14ac:dyDescent="0.35">
      <c r="A110" t="s">
        <v>227</v>
      </c>
      <c r="B110">
        <v>7507051181</v>
      </c>
      <c r="C110">
        <v>6374394200</v>
      </c>
      <c r="D110" t="s">
        <v>13</v>
      </c>
      <c r="E110" s="7">
        <v>434</v>
      </c>
      <c r="F110" s="7">
        <v>434</v>
      </c>
      <c r="G110" s="7">
        <v>0</v>
      </c>
      <c r="H110" t="s">
        <v>20</v>
      </c>
      <c r="I110" t="s">
        <v>86</v>
      </c>
      <c r="J110" t="s">
        <v>22</v>
      </c>
      <c r="K110" t="s">
        <v>16</v>
      </c>
      <c r="L110" t="s">
        <v>16</v>
      </c>
      <c r="M110" t="s">
        <v>17</v>
      </c>
    </row>
    <row r="111" spans="1:13" x14ac:dyDescent="0.35">
      <c r="A111" t="s">
        <v>228</v>
      </c>
      <c r="B111">
        <v>1191852769</v>
      </c>
      <c r="C111">
        <v>3896716396</v>
      </c>
      <c r="D111" t="s">
        <v>24</v>
      </c>
      <c r="E111" s="7">
        <v>365</v>
      </c>
      <c r="F111" s="7">
        <v>233</v>
      </c>
      <c r="G111" s="7">
        <v>132</v>
      </c>
      <c r="H111" t="s">
        <v>20</v>
      </c>
      <c r="I111" t="s">
        <v>39</v>
      </c>
      <c r="J111" t="s">
        <v>26</v>
      </c>
      <c r="K111" t="s">
        <v>27</v>
      </c>
      <c r="L111" t="s">
        <v>894</v>
      </c>
      <c r="M111" t="s">
        <v>33</v>
      </c>
    </row>
    <row r="112" spans="1:13" x14ac:dyDescent="0.35">
      <c r="A112" t="s">
        <v>229</v>
      </c>
      <c r="B112">
        <v>2394073426</v>
      </c>
      <c r="C112">
        <v>8111972544</v>
      </c>
      <c r="D112" t="s">
        <v>67</v>
      </c>
      <c r="E112" s="7">
        <v>214</v>
      </c>
      <c r="F112" s="7">
        <v>214</v>
      </c>
      <c r="G112" s="7">
        <v>0</v>
      </c>
      <c r="H112" t="s">
        <v>31</v>
      </c>
      <c r="I112" t="s">
        <v>157</v>
      </c>
      <c r="J112" t="s">
        <v>43</v>
      </c>
      <c r="K112" t="s">
        <v>16</v>
      </c>
      <c r="L112" t="s">
        <v>16</v>
      </c>
      <c r="M112" t="s">
        <v>17</v>
      </c>
    </row>
    <row r="113" spans="1:13" x14ac:dyDescent="0.35">
      <c r="A113" t="s">
        <v>230</v>
      </c>
      <c r="B113">
        <v>7216892619</v>
      </c>
      <c r="C113">
        <v>8474448865</v>
      </c>
      <c r="D113" t="s">
        <v>24</v>
      </c>
      <c r="E113" s="7">
        <v>115</v>
      </c>
      <c r="F113" s="7">
        <v>0</v>
      </c>
      <c r="G113" s="7">
        <v>115</v>
      </c>
      <c r="H113" t="s">
        <v>14</v>
      </c>
      <c r="I113" t="s">
        <v>231</v>
      </c>
      <c r="J113" t="s">
        <v>22</v>
      </c>
      <c r="K113" t="s">
        <v>27</v>
      </c>
      <c r="L113" t="s">
        <v>0</v>
      </c>
      <c r="M113" t="s">
        <v>58</v>
      </c>
    </row>
    <row r="114" spans="1:13" x14ac:dyDescent="0.35">
      <c r="A114" t="s">
        <v>232</v>
      </c>
      <c r="B114">
        <v>3397635546</v>
      </c>
      <c r="C114">
        <v>5196707653</v>
      </c>
      <c r="D114" t="s">
        <v>13</v>
      </c>
      <c r="E114" s="7">
        <v>381</v>
      </c>
      <c r="F114" s="7">
        <v>381</v>
      </c>
      <c r="G114" s="7">
        <v>0</v>
      </c>
      <c r="H114" t="s">
        <v>35</v>
      </c>
      <c r="I114" t="s">
        <v>221</v>
      </c>
      <c r="J114" t="s">
        <v>26</v>
      </c>
      <c r="K114" t="s">
        <v>16</v>
      </c>
      <c r="L114" t="s">
        <v>16</v>
      </c>
      <c r="M114" t="s">
        <v>17</v>
      </c>
    </row>
    <row r="115" spans="1:13" x14ac:dyDescent="0.35">
      <c r="A115" t="s">
        <v>233</v>
      </c>
      <c r="B115">
        <v>8466303274</v>
      </c>
      <c r="C115">
        <v>1515174964</v>
      </c>
      <c r="D115" t="s">
        <v>19</v>
      </c>
      <c r="E115" s="7">
        <v>203</v>
      </c>
      <c r="F115" s="7">
        <v>203</v>
      </c>
      <c r="G115" s="7">
        <v>0</v>
      </c>
      <c r="H115" t="s">
        <v>14</v>
      </c>
      <c r="I115" t="s">
        <v>122</v>
      </c>
      <c r="J115" t="s">
        <v>26</v>
      </c>
      <c r="K115" t="s">
        <v>16</v>
      </c>
      <c r="L115" t="s">
        <v>16</v>
      </c>
      <c r="M115" t="s">
        <v>17</v>
      </c>
    </row>
    <row r="116" spans="1:13" x14ac:dyDescent="0.35">
      <c r="A116" t="s">
        <v>234</v>
      </c>
      <c r="B116">
        <v>9884264767</v>
      </c>
      <c r="C116">
        <v>1316033874</v>
      </c>
      <c r="D116" t="s">
        <v>13</v>
      </c>
      <c r="E116" s="7">
        <v>498</v>
      </c>
      <c r="F116" s="7">
        <v>304</v>
      </c>
      <c r="G116" s="7">
        <v>194</v>
      </c>
      <c r="H116" t="s">
        <v>70</v>
      </c>
      <c r="I116" t="s">
        <v>235</v>
      </c>
      <c r="J116" t="s">
        <v>22</v>
      </c>
      <c r="K116" t="s">
        <v>27</v>
      </c>
      <c r="L116" t="s">
        <v>894</v>
      </c>
      <c r="M116" t="s">
        <v>44</v>
      </c>
    </row>
    <row r="117" spans="1:13" x14ac:dyDescent="0.35">
      <c r="A117" t="s">
        <v>236</v>
      </c>
      <c r="B117">
        <v>5301271867</v>
      </c>
      <c r="C117">
        <v>9360609927</v>
      </c>
      <c r="D117" t="s">
        <v>67</v>
      </c>
      <c r="E117" s="7">
        <v>292</v>
      </c>
      <c r="F117" s="7">
        <v>292</v>
      </c>
      <c r="G117" s="7">
        <v>0</v>
      </c>
      <c r="H117" t="s">
        <v>56</v>
      </c>
      <c r="I117" t="s">
        <v>237</v>
      </c>
      <c r="J117" t="s">
        <v>26</v>
      </c>
      <c r="K117" t="s">
        <v>16</v>
      </c>
      <c r="L117" t="s">
        <v>16</v>
      </c>
      <c r="M117" t="s">
        <v>17</v>
      </c>
    </row>
    <row r="118" spans="1:13" x14ac:dyDescent="0.35">
      <c r="A118" t="s">
        <v>238</v>
      </c>
      <c r="B118">
        <v>6358288206</v>
      </c>
      <c r="C118">
        <v>3347790516</v>
      </c>
      <c r="D118" t="s">
        <v>30</v>
      </c>
      <c r="E118" s="7">
        <v>144</v>
      </c>
      <c r="F118" s="7">
        <v>144</v>
      </c>
      <c r="G118" s="7">
        <v>0</v>
      </c>
      <c r="H118" t="s">
        <v>35</v>
      </c>
      <c r="I118" t="s">
        <v>239</v>
      </c>
      <c r="J118" t="s">
        <v>43</v>
      </c>
      <c r="K118" t="s">
        <v>27</v>
      </c>
      <c r="L118" t="s">
        <v>16</v>
      </c>
      <c r="M118" t="s">
        <v>33</v>
      </c>
    </row>
    <row r="119" spans="1:13" x14ac:dyDescent="0.35">
      <c r="A119" t="s">
        <v>240</v>
      </c>
      <c r="B119">
        <v>6218708524</v>
      </c>
      <c r="C119">
        <v>2444468779</v>
      </c>
      <c r="D119" t="s">
        <v>24</v>
      </c>
      <c r="E119" s="7">
        <v>216</v>
      </c>
      <c r="F119" s="7">
        <v>216</v>
      </c>
      <c r="G119" s="7">
        <v>0</v>
      </c>
      <c r="H119" t="s">
        <v>80</v>
      </c>
      <c r="I119" t="s">
        <v>92</v>
      </c>
      <c r="J119" t="s">
        <v>43</v>
      </c>
      <c r="K119" t="s">
        <v>27</v>
      </c>
      <c r="L119" t="s">
        <v>16</v>
      </c>
      <c r="M119" t="s">
        <v>33</v>
      </c>
    </row>
    <row r="120" spans="1:13" x14ac:dyDescent="0.35">
      <c r="A120" t="s">
        <v>241</v>
      </c>
      <c r="B120">
        <v>9696153952</v>
      </c>
      <c r="C120">
        <v>3647485316</v>
      </c>
      <c r="D120" t="s">
        <v>30</v>
      </c>
      <c r="E120" s="7">
        <v>430</v>
      </c>
      <c r="F120" s="7">
        <v>230</v>
      </c>
      <c r="G120" s="7">
        <v>200</v>
      </c>
      <c r="H120" t="s">
        <v>31</v>
      </c>
      <c r="I120" t="s">
        <v>48</v>
      </c>
      <c r="J120" t="s">
        <v>22</v>
      </c>
      <c r="K120" t="s">
        <v>0</v>
      </c>
      <c r="L120" t="s">
        <v>894</v>
      </c>
      <c r="M120" t="s">
        <v>33</v>
      </c>
    </row>
    <row r="121" spans="1:13" x14ac:dyDescent="0.35">
      <c r="A121" t="s">
        <v>242</v>
      </c>
      <c r="B121">
        <v>5590936414</v>
      </c>
      <c r="C121">
        <v>7312949682</v>
      </c>
      <c r="D121" t="s">
        <v>19</v>
      </c>
      <c r="E121" s="7">
        <v>145</v>
      </c>
      <c r="F121" s="7">
        <v>145</v>
      </c>
      <c r="G121" s="7">
        <v>0</v>
      </c>
      <c r="H121" t="s">
        <v>35</v>
      </c>
      <c r="I121" t="s">
        <v>237</v>
      </c>
      <c r="J121" t="s">
        <v>22</v>
      </c>
      <c r="K121" t="s">
        <v>16</v>
      </c>
      <c r="L121" t="s">
        <v>16</v>
      </c>
      <c r="M121" t="s">
        <v>17</v>
      </c>
    </row>
    <row r="122" spans="1:13" x14ac:dyDescent="0.35">
      <c r="A122" t="s">
        <v>243</v>
      </c>
      <c r="B122">
        <v>7981724362</v>
      </c>
      <c r="C122">
        <v>5059821073</v>
      </c>
      <c r="D122" t="s">
        <v>19</v>
      </c>
      <c r="E122" s="7">
        <v>371</v>
      </c>
      <c r="F122" s="7">
        <v>226</v>
      </c>
      <c r="G122" s="7">
        <v>145</v>
      </c>
      <c r="H122" t="s">
        <v>70</v>
      </c>
      <c r="I122" t="s">
        <v>221</v>
      </c>
      <c r="J122" t="s">
        <v>43</v>
      </c>
      <c r="K122" t="s">
        <v>0</v>
      </c>
      <c r="L122" t="s">
        <v>894</v>
      </c>
      <c r="M122" t="s">
        <v>28</v>
      </c>
    </row>
    <row r="123" spans="1:13" x14ac:dyDescent="0.35">
      <c r="A123" t="s">
        <v>244</v>
      </c>
      <c r="B123">
        <v>5779906232</v>
      </c>
      <c r="C123">
        <v>6484108966</v>
      </c>
      <c r="D123" t="s">
        <v>24</v>
      </c>
      <c r="E123" s="7">
        <v>351</v>
      </c>
      <c r="F123" s="7">
        <v>351</v>
      </c>
      <c r="G123" s="7">
        <v>0</v>
      </c>
      <c r="H123" t="s">
        <v>20</v>
      </c>
      <c r="I123" t="s">
        <v>138</v>
      </c>
      <c r="J123" t="s">
        <v>26</v>
      </c>
      <c r="K123" t="s">
        <v>16</v>
      </c>
      <c r="L123" t="s">
        <v>16</v>
      </c>
      <c r="M123" t="s">
        <v>17</v>
      </c>
    </row>
    <row r="124" spans="1:13" x14ac:dyDescent="0.35">
      <c r="A124" t="s">
        <v>245</v>
      </c>
      <c r="B124">
        <v>9045277825</v>
      </c>
      <c r="C124">
        <v>3393310841</v>
      </c>
      <c r="D124" t="s">
        <v>19</v>
      </c>
      <c r="E124" s="7">
        <v>324</v>
      </c>
      <c r="F124" s="7">
        <v>324</v>
      </c>
      <c r="G124" s="7">
        <v>0</v>
      </c>
      <c r="H124" t="s">
        <v>31</v>
      </c>
      <c r="I124" t="s">
        <v>246</v>
      </c>
      <c r="J124" t="s">
        <v>43</v>
      </c>
      <c r="K124" t="s">
        <v>0</v>
      </c>
      <c r="L124" t="s">
        <v>16</v>
      </c>
      <c r="M124" t="s">
        <v>28</v>
      </c>
    </row>
    <row r="125" spans="1:13" x14ac:dyDescent="0.35">
      <c r="A125" t="s">
        <v>247</v>
      </c>
      <c r="B125">
        <v>4661238640</v>
      </c>
      <c r="C125">
        <v>6031974567</v>
      </c>
      <c r="D125" t="s">
        <v>30</v>
      </c>
      <c r="E125" s="7">
        <v>292</v>
      </c>
      <c r="F125" s="7">
        <v>292</v>
      </c>
      <c r="G125" s="7">
        <v>0</v>
      </c>
      <c r="H125" t="s">
        <v>80</v>
      </c>
      <c r="I125" t="s">
        <v>106</v>
      </c>
      <c r="J125" t="s">
        <v>22</v>
      </c>
      <c r="K125" t="s">
        <v>16</v>
      </c>
      <c r="L125" t="s">
        <v>16</v>
      </c>
      <c r="M125" t="s">
        <v>17</v>
      </c>
    </row>
    <row r="126" spans="1:13" x14ac:dyDescent="0.35">
      <c r="A126" t="s">
        <v>248</v>
      </c>
      <c r="B126">
        <v>337273433</v>
      </c>
      <c r="C126">
        <v>5547781047</v>
      </c>
      <c r="D126" t="s">
        <v>24</v>
      </c>
      <c r="E126" s="7">
        <v>316</v>
      </c>
      <c r="F126" s="7">
        <v>0</v>
      </c>
      <c r="G126" s="7">
        <v>316</v>
      </c>
      <c r="H126" t="s">
        <v>35</v>
      </c>
      <c r="I126" t="s">
        <v>132</v>
      </c>
      <c r="J126" t="s">
        <v>22</v>
      </c>
      <c r="K126" t="s">
        <v>0</v>
      </c>
      <c r="L126" t="s">
        <v>0</v>
      </c>
      <c r="M126" t="s">
        <v>33</v>
      </c>
    </row>
    <row r="127" spans="1:13" x14ac:dyDescent="0.35">
      <c r="A127" t="s">
        <v>249</v>
      </c>
      <c r="B127">
        <v>6431344157</v>
      </c>
      <c r="C127">
        <v>5993745339</v>
      </c>
      <c r="D127" t="s">
        <v>19</v>
      </c>
      <c r="E127" s="7">
        <v>440</v>
      </c>
      <c r="F127" s="7">
        <v>440</v>
      </c>
      <c r="G127" s="7">
        <v>0</v>
      </c>
      <c r="H127" t="s">
        <v>99</v>
      </c>
      <c r="I127" t="s">
        <v>221</v>
      </c>
      <c r="J127" t="s">
        <v>43</v>
      </c>
      <c r="K127" t="s">
        <v>16</v>
      </c>
      <c r="L127" t="s">
        <v>16</v>
      </c>
      <c r="M127" t="s">
        <v>17</v>
      </c>
    </row>
    <row r="128" spans="1:13" x14ac:dyDescent="0.35">
      <c r="A128" t="s">
        <v>250</v>
      </c>
      <c r="B128">
        <v>1023375494</v>
      </c>
      <c r="C128">
        <v>9657695754</v>
      </c>
      <c r="D128" t="s">
        <v>13</v>
      </c>
      <c r="E128" s="7">
        <v>264</v>
      </c>
      <c r="F128" s="7">
        <v>199</v>
      </c>
      <c r="G128" s="7">
        <v>65</v>
      </c>
      <c r="H128" t="s">
        <v>99</v>
      </c>
      <c r="I128" t="s">
        <v>251</v>
      </c>
      <c r="J128" t="s">
        <v>22</v>
      </c>
      <c r="K128" t="s">
        <v>0</v>
      </c>
      <c r="L128" t="s">
        <v>894</v>
      </c>
      <c r="M128" t="s">
        <v>40</v>
      </c>
    </row>
    <row r="129" spans="1:13" x14ac:dyDescent="0.35">
      <c r="A129" t="s">
        <v>253</v>
      </c>
      <c r="B129">
        <v>8991511345</v>
      </c>
      <c r="C129">
        <v>6620050831</v>
      </c>
      <c r="D129" t="s">
        <v>19</v>
      </c>
      <c r="E129" s="7">
        <v>441</v>
      </c>
      <c r="F129" s="7">
        <v>441</v>
      </c>
      <c r="G129" s="7">
        <v>0</v>
      </c>
      <c r="H129" t="s">
        <v>35</v>
      </c>
      <c r="I129" t="s">
        <v>134</v>
      </c>
      <c r="J129" t="s">
        <v>26</v>
      </c>
      <c r="K129" t="s">
        <v>0</v>
      </c>
      <c r="L129" t="s">
        <v>16</v>
      </c>
      <c r="M129" t="s">
        <v>55</v>
      </c>
    </row>
    <row r="130" spans="1:13" x14ac:dyDescent="0.35">
      <c r="A130" t="s">
        <v>255</v>
      </c>
      <c r="B130">
        <v>882460491</v>
      </c>
      <c r="C130">
        <v>5740866838</v>
      </c>
      <c r="D130" t="s">
        <v>13</v>
      </c>
      <c r="E130" s="7">
        <v>205</v>
      </c>
      <c r="F130" s="7">
        <v>205</v>
      </c>
      <c r="G130" s="7">
        <v>0</v>
      </c>
      <c r="H130" t="s">
        <v>38</v>
      </c>
      <c r="I130" t="s">
        <v>256</v>
      </c>
      <c r="J130" t="s">
        <v>26</v>
      </c>
      <c r="K130" t="s">
        <v>16</v>
      </c>
      <c r="L130" t="s">
        <v>16</v>
      </c>
      <c r="M130" t="s">
        <v>17</v>
      </c>
    </row>
    <row r="131" spans="1:13" x14ac:dyDescent="0.35">
      <c r="A131" t="s">
        <v>257</v>
      </c>
      <c r="B131">
        <v>8619597301</v>
      </c>
      <c r="C131">
        <v>4552578542</v>
      </c>
      <c r="D131" t="s">
        <v>30</v>
      </c>
      <c r="E131" s="7">
        <v>154</v>
      </c>
      <c r="F131" s="7">
        <v>154</v>
      </c>
      <c r="G131" s="7">
        <v>0</v>
      </c>
      <c r="H131" t="s">
        <v>80</v>
      </c>
      <c r="I131" t="s">
        <v>132</v>
      </c>
      <c r="J131" t="s">
        <v>26</v>
      </c>
      <c r="K131" t="s">
        <v>0</v>
      </c>
      <c r="L131" t="s">
        <v>16</v>
      </c>
      <c r="M131" t="s">
        <v>55</v>
      </c>
    </row>
    <row r="132" spans="1:13" x14ac:dyDescent="0.35">
      <c r="A132" t="s">
        <v>258</v>
      </c>
      <c r="B132">
        <v>5577749071</v>
      </c>
      <c r="C132">
        <v>8116288647</v>
      </c>
      <c r="D132" t="s">
        <v>30</v>
      </c>
      <c r="E132" s="7">
        <v>224</v>
      </c>
      <c r="F132" s="7">
        <v>224</v>
      </c>
      <c r="G132" s="7">
        <v>0</v>
      </c>
      <c r="H132" t="s">
        <v>38</v>
      </c>
      <c r="I132" t="s">
        <v>259</v>
      </c>
      <c r="J132" t="s">
        <v>26</v>
      </c>
      <c r="K132" t="s">
        <v>0</v>
      </c>
      <c r="L132" t="s">
        <v>16</v>
      </c>
      <c r="M132" t="s">
        <v>55</v>
      </c>
    </row>
    <row r="133" spans="1:13" x14ac:dyDescent="0.35">
      <c r="A133" t="s">
        <v>260</v>
      </c>
      <c r="B133">
        <v>2684702899</v>
      </c>
      <c r="C133">
        <v>5808072665</v>
      </c>
      <c r="D133" t="s">
        <v>30</v>
      </c>
      <c r="E133" s="7">
        <v>144</v>
      </c>
      <c r="F133" s="7">
        <v>144</v>
      </c>
      <c r="G133" s="7">
        <v>0</v>
      </c>
      <c r="H133" t="s">
        <v>38</v>
      </c>
      <c r="I133" t="s">
        <v>54</v>
      </c>
      <c r="J133" t="s">
        <v>26</v>
      </c>
      <c r="K133" t="s">
        <v>16</v>
      </c>
      <c r="L133" t="s">
        <v>16</v>
      </c>
      <c r="M133" t="s">
        <v>17</v>
      </c>
    </row>
    <row r="134" spans="1:13" x14ac:dyDescent="0.35">
      <c r="A134" t="s">
        <v>261</v>
      </c>
      <c r="B134">
        <v>2608036521</v>
      </c>
      <c r="C134">
        <v>7546582330</v>
      </c>
      <c r="D134" t="s">
        <v>30</v>
      </c>
      <c r="E134" s="7">
        <v>121</v>
      </c>
      <c r="F134" s="7">
        <v>121</v>
      </c>
      <c r="G134" s="7">
        <v>0</v>
      </c>
      <c r="H134" t="s">
        <v>20</v>
      </c>
      <c r="I134" t="s">
        <v>165</v>
      </c>
      <c r="J134" t="s">
        <v>26</v>
      </c>
      <c r="K134" t="s">
        <v>16</v>
      </c>
      <c r="L134" t="s">
        <v>16</v>
      </c>
      <c r="M134" t="s">
        <v>17</v>
      </c>
    </row>
    <row r="135" spans="1:13" x14ac:dyDescent="0.35">
      <c r="A135" t="s">
        <v>262</v>
      </c>
      <c r="B135">
        <v>8382365578</v>
      </c>
      <c r="C135">
        <v>1375759561</v>
      </c>
      <c r="D135" t="s">
        <v>19</v>
      </c>
      <c r="E135" s="7">
        <v>443</v>
      </c>
      <c r="F135" s="7">
        <v>443</v>
      </c>
      <c r="G135" s="7">
        <v>0</v>
      </c>
      <c r="H135" t="s">
        <v>70</v>
      </c>
      <c r="I135" t="s">
        <v>21</v>
      </c>
      <c r="J135" t="s">
        <v>22</v>
      </c>
      <c r="K135" t="s">
        <v>16</v>
      </c>
      <c r="L135" t="s">
        <v>16</v>
      </c>
      <c r="M135" t="s">
        <v>17</v>
      </c>
    </row>
    <row r="136" spans="1:13" x14ac:dyDescent="0.35">
      <c r="A136" t="s">
        <v>263</v>
      </c>
      <c r="B136">
        <v>6012561378</v>
      </c>
      <c r="C136">
        <v>5908095915</v>
      </c>
      <c r="D136" t="s">
        <v>13</v>
      </c>
      <c r="E136" s="7">
        <v>496</v>
      </c>
      <c r="F136" s="7">
        <v>496</v>
      </c>
      <c r="G136" s="7">
        <v>0</v>
      </c>
      <c r="H136" t="s">
        <v>56</v>
      </c>
      <c r="I136" t="s">
        <v>94</v>
      </c>
      <c r="J136" t="s">
        <v>26</v>
      </c>
      <c r="K136" t="s">
        <v>0</v>
      </c>
      <c r="L136" t="s">
        <v>16</v>
      </c>
      <c r="M136" t="s">
        <v>33</v>
      </c>
    </row>
    <row r="137" spans="1:13" x14ac:dyDescent="0.35">
      <c r="A137" t="s">
        <v>264</v>
      </c>
      <c r="B137">
        <v>1448693427</v>
      </c>
      <c r="C137">
        <v>8007678093</v>
      </c>
      <c r="D137" t="s">
        <v>19</v>
      </c>
      <c r="E137" s="7">
        <v>148</v>
      </c>
      <c r="F137" s="7">
        <v>148</v>
      </c>
      <c r="G137" s="7">
        <v>0</v>
      </c>
      <c r="H137" t="s">
        <v>70</v>
      </c>
      <c r="I137" t="s">
        <v>122</v>
      </c>
      <c r="J137" t="s">
        <v>26</v>
      </c>
      <c r="K137" t="s">
        <v>16</v>
      </c>
      <c r="L137" t="s">
        <v>16</v>
      </c>
      <c r="M137" t="s">
        <v>17</v>
      </c>
    </row>
    <row r="138" spans="1:13" x14ac:dyDescent="0.35">
      <c r="A138" t="s">
        <v>265</v>
      </c>
      <c r="B138">
        <v>3627070036</v>
      </c>
      <c r="C138">
        <v>6437832238</v>
      </c>
      <c r="D138" t="s">
        <v>24</v>
      </c>
      <c r="E138" s="7">
        <v>432</v>
      </c>
      <c r="F138" s="7">
        <v>432</v>
      </c>
      <c r="G138" s="7">
        <v>0</v>
      </c>
      <c r="H138" t="s">
        <v>14</v>
      </c>
      <c r="I138" t="s">
        <v>78</v>
      </c>
      <c r="J138" t="s">
        <v>22</v>
      </c>
      <c r="K138" t="s">
        <v>16</v>
      </c>
      <c r="L138" t="s">
        <v>16</v>
      </c>
      <c r="M138" t="s">
        <v>17</v>
      </c>
    </row>
    <row r="139" spans="1:13" x14ac:dyDescent="0.35">
      <c r="A139" t="s">
        <v>266</v>
      </c>
      <c r="B139">
        <v>9761933078</v>
      </c>
      <c r="C139">
        <v>2612404520</v>
      </c>
      <c r="D139" t="s">
        <v>24</v>
      </c>
      <c r="E139" s="7">
        <v>459</v>
      </c>
      <c r="F139" s="7">
        <v>230</v>
      </c>
      <c r="G139" s="7">
        <v>229</v>
      </c>
      <c r="H139" t="s">
        <v>31</v>
      </c>
      <c r="I139" t="s">
        <v>15</v>
      </c>
      <c r="J139" t="s">
        <v>43</v>
      </c>
      <c r="K139" t="s">
        <v>27</v>
      </c>
      <c r="L139" t="s">
        <v>894</v>
      </c>
      <c r="M139" t="s">
        <v>55</v>
      </c>
    </row>
    <row r="140" spans="1:13" x14ac:dyDescent="0.35">
      <c r="A140" t="s">
        <v>267</v>
      </c>
      <c r="B140">
        <v>1696229134</v>
      </c>
      <c r="C140">
        <v>3378178612</v>
      </c>
      <c r="D140" t="s">
        <v>24</v>
      </c>
      <c r="E140" s="7">
        <v>152</v>
      </c>
      <c r="F140" s="7">
        <v>152</v>
      </c>
      <c r="G140" s="7">
        <v>0</v>
      </c>
      <c r="H140" t="s">
        <v>35</v>
      </c>
      <c r="I140" t="s">
        <v>103</v>
      </c>
      <c r="J140" t="s">
        <v>43</v>
      </c>
      <c r="K140" t="s">
        <v>0</v>
      </c>
      <c r="L140" t="s">
        <v>16</v>
      </c>
      <c r="M140" t="s">
        <v>33</v>
      </c>
    </row>
    <row r="141" spans="1:13" x14ac:dyDescent="0.35">
      <c r="A141" t="s">
        <v>269</v>
      </c>
      <c r="B141">
        <v>8887244725</v>
      </c>
      <c r="C141">
        <v>9781272640</v>
      </c>
      <c r="D141" t="s">
        <v>24</v>
      </c>
      <c r="E141" s="7">
        <v>288</v>
      </c>
      <c r="F141" s="7">
        <v>288</v>
      </c>
      <c r="G141" s="7">
        <v>0</v>
      </c>
      <c r="H141" t="s">
        <v>56</v>
      </c>
      <c r="I141" t="s">
        <v>83</v>
      </c>
      <c r="J141" t="s">
        <v>26</v>
      </c>
      <c r="K141" t="s">
        <v>16</v>
      </c>
      <c r="L141" t="s">
        <v>16</v>
      </c>
      <c r="M141" t="s">
        <v>17</v>
      </c>
    </row>
    <row r="142" spans="1:13" x14ac:dyDescent="0.35">
      <c r="A142" t="s">
        <v>270</v>
      </c>
      <c r="B142">
        <v>1723768177</v>
      </c>
      <c r="C142">
        <v>8350856305</v>
      </c>
      <c r="D142" t="s">
        <v>67</v>
      </c>
      <c r="E142" s="7">
        <v>176</v>
      </c>
      <c r="F142" s="7">
        <v>176</v>
      </c>
      <c r="G142" s="7">
        <v>0</v>
      </c>
      <c r="H142" t="s">
        <v>20</v>
      </c>
      <c r="I142" t="s">
        <v>252</v>
      </c>
      <c r="J142" t="s">
        <v>43</v>
      </c>
      <c r="K142" t="s">
        <v>27</v>
      </c>
      <c r="L142" t="s">
        <v>16</v>
      </c>
      <c r="M142" t="s">
        <v>33</v>
      </c>
    </row>
    <row r="143" spans="1:13" x14ac:dyDescent="0.35">
      <c r="A143" t="s">
        <v>271</v>
      </c>
      <c r="B143">
        <v>3352303460</v>
      </c>
      <c r="C143">
        <v>2504414103</v>
      </c>
      <c r="D143" t="s">
        <v>30</v>
      </c>
      <c r="E143" s="7">
        <v>212</v>
      </c>
      <c r="F143" s="7">
        <v>212</v>
      </c>
      <c r="G143" s="7">
        <v>0</v>
      </c>
      <c r="H143" t="s">
        <v>38</v>
      </c>
      <c r="I143" t="s">
        <v>72</v>
      </c>
      <c r="J143" t="s">
        <v>22</v>
      </c>
      <c r="K143" t="s">
        <v>16</v>
      </c>
      <c r="L143" t="s">
        <v>16</v>
      </c>
      <c r="M143" t="s">
        <v>17</v>
      </c>
    </row>
    <row r="144" spans="1:13" x14ac:dyDescent="0.35">
      <c r="A144" t="s">
        <v>272</v>
      </c>
      <c r="B144">
        <v>3666892635</v>
      </c>
      <c r="C144">
        <v>4746989996</v>
      </c>
      <c r="D144" t="s">
        <v>24</v>
      </c>
      <c r="E144" s="7">
        <v>158</v>
      </c>
      <c r="F144" s="7">
        <v>158</v>
      </c>
      <c r="G144" s="7">
        <v>0</v>
      </c>
      <c r="H144" t="s">
        <v>31</v>
      </c>
      <c r="I144" t="s">
        <v>112</v>
      </c>
      <c r="J144" t="s">
        <v>26</v>
      </c>
      <c r="K144" t="s">
        <v>16</v>
      </c>
      <c r="L144" t="s">
        <v>16</v>
      </c>
      <c r="M144" t="s">
        <v>17</v>
      </c>
    </row>
    <row r="145" spans="1:13" x14ac:dyDescent="0.35">
      <c r="A145" t="s">
        <v>273</v>
      </c>
      <c r="B145">
        <v>2376734593</v>
      </c>
      <c r="C145">
        <v>9774821986</v>
      </c>
      <c r="D145" t="s">
        <v>19</v>
      </c>
      <c r="E145" s="7">
        <v>361</v>
      </c>
      <c r="F145" s="7">
        <v>361</v>
      </c>
      <c r="G145" s="7">
        <v>0</v>
      </c>
      <c r="H145" t="s">
        <v>31</v>
      </c>
      <c r="I145" t="s">
        <v>180</v>
      </c>
      <c r="J145" t="s">
        <v>43</v>
      </c>
      <c r="K145" t="s">
        <v>16</v>
      </c>
      <c r="L145" t="s">
        <v>16</v>
      </c>
      <c r="M145" t="s">
        <v>17</v>
      </c>
    </row>
    <row r="146" spans="1:13" x14ac:dyDescent="0.35">
      <c r="A146" t="s">
        <v>274</v>
      </c>
      <c r="B146">
        <v>4828356854</v>
      </c>
      <c r="C146">
        <v>2161577053</v>
      </c>
      <c r="D146" t="s">
        <v>67</v>
      </c>
      <c r="E146" s="7">
        <v>351</v>
      </c>
      <c r="F146" s="7">
        <v>351</v>
      </c>
      <c r="G146" s="7">
        <v>0</v>
      </c>
      <c r="H146" t="s">
        <v>70</v>
      </c>
      <c r="I146" t="s">
        <v>122</v>
      </c>
      <c r="J146" t="s">
        <v>22</v>
      </c>
      <c r="K146" t="s">
        <v>16</v>
      </c>
      <c r="L146" t="s">
        <v>16</v>
      </c>
      <c r="M146" t="s">
        <v>17</v>
      </c>
    </row>
    <row r="147" spans="1:13" x14ac:dyDescent="0.35">
      <c r="A147" t="s">
        <v>275</v>
      </c>
      <c r="B147">
        <v>4795867288</v>
      </c>
      <c r="C147">
        <v>9759993201</v>
      </c>
      <c r="D147" t="s">
        <v>30</v>
      </c>
      <c r="E147" s="7">
        <v>410</v>
      </c>
      <c r="F147" s="7">
        <v>410</v>
      </c>
      <c r="G147" s="7">
        <v>0</v>
      </c>
      <c r="H147" t="s">
        <v>35</v>
      </c>
      <c r="I147" t="s">
        <v>68</v>
      </c>
      <c r="J147" t="s">
        <v>43</v>
      </c>
      <c r="K147" t="s">
        <v>16</v>
      </c>
      <c r="L147" t="s">
        <v>16</v>
      </c>
      <c r="M147" t="s">
        <v>17</v>
      </c>
    </row>
    <row r="148" spans="1:13" x14ac:dyDescent="0.35">
      <c r="A148" t="s">
        <v>276</v>
      </c>
      <c r="B148">
        <v>5901329561</v>
      </c>
      <c r="C148">
        <v>8170215789</v>
      </c>
      <c r="D148" t="s">
        <v>13</v>
      </c>
      <c r="E148" s="7">
        <v>149</v>
      </c>
      <c r="F148" s="7">
        <v>149</v>
      </c>
      <c r="G148" s="7">
        <v>0</v>
      </c>
      <c r="H148" t="s">
        <v>14</v>
      </c>
      <c r="I148" t="s">
        <v>161</v>
      </c>
      <c r="J148" t="s">
        <v>22</v>
      </c>
      <c r="K148" t="s">
        <v>16</v>
      </c>
      <c r="L148" t="s">
        <v>16</v>
      </c>
      <c r="M148" t="s">
        <v>17</v>
      </c>
    </row>
    <row r="149" spans="1:13" x14ac:dyDescent="0.35">
      <c r="A149" t="s">
        <v>277</v>
      </c>
      <c r="B149">
        <v>341965448</v>
      </c>
      <c r="C149">
        <v>3179392054</v>
      </c>
      <c r="D149" t="s">
        <v>24</v>
      </c>
      <c r="E149" s="7">
        <v>234</v>
      </c>
      <c r="F149" s="7">
        <v>130</v>
      </c>
      <c r="G149" s="7">
        <v>104</v>
      </c>
      <c r="H149" t="s">
        <v>70</v>
      </c>
      <c r="I149" t="s">
        <v>159</v>
      </c>
      <c r="J149" t="s">
        <v>26</v>
      </c>
      <c r="K149" t="s">
        <v>0</v>
      </c>
      <c r="L149" t="s">
        <v>894</v>
      </c>
      <c r="M149" t="s">
        <v>40</v>
      </c>
    </row>
    <row r="150" spans="1:13" x14ac:dyDescent="0.35">
      <c r="A150" t="s">
        <v>278</v>
      </c>
      <c r="B150">
        <v>9271966642</v>
      </c>
      <c r="C150">
        <v>7903926678</v>
      </c>
      <c r="D150" t="s">
        <v>24</v>
      </c>
      <c r="E150" s="7">
        <v>254</v>
      </c>
      <c r="F150" s="7">
        <v>254</v>
      </c>
      <c r="G150" s="7">
        <v>0</v>
      </c>
      <c r="H150" t="s">
        <v>35</v>
      </c>
      <c r="I150" t="s">
        <v>279</v>
      </c>
      <c r="J150" t="s">
        <v>22</v>
      </c>
      <c r="K150" t="s">
        <v>0</v>
      </c>
      <c r="L150" t="s">
        <v>16</v>
      </c>
      <c r="M150" t="s">
        <v>40</v>
      </c>
    </row>
    <row r="151" spans="1:13" x14ac:dyDescent="0.35">
      <c r="A151" t="s">
        <v>280</v>
      </c>
      <c r="B151">
        <v>8941101270</v>
      </c>
      <c r="C151">
        <v>8609829647</v>
      </c>
      <c r="D151" t="s">
        <v>30</v>
      </c>
      <c r="E151" s="7">
        <v>140</v>
      </c>
      <c r="F151" s="7">
        <v>140</v>
      </c>
      <c r="G151" s="7">
        <v>0</v>
      </c>
      <c r="H151" t="s">
        <v>70</v>
      </c>
      <c r="I151" t="s">
        <v>281</v>
      </c>
      <c r="J151" t="s">
        <v>43</v>
      </c>
      <c r="K151" t="s">
        <v>27</v>
      </c>
      <c r="L151" t="s">
        <v>16</v>
      </c>
      <c r="M151" t="s">
        <v>40</v>
      </c>
    </row>
    <row r="152" spans="1:13" x14ac:dyDescent="0.35">
      <c r="A152" t="s">
        <v>282</v>
      </c>
      <c r="B152">
        <v>7185877275</v>
      </c>
      <c r="C152">
        <v>6539725479</v>
      </c>
      <c r="D152" t="s">
        <v>30</v>
      </c>
      <c r="E152" s="7">
        <v>352</v>
      </c>
      <c r="F152" s="7">
        <v>0</v>
      </c>
      <c r="G152" s="7">
        <v>352</v>
      </c>
      <c r="H152" t="s">
        <v>70</v>
      </c>
      <c r="I152" t="s">
        <v>215</v>
      </c>
      <c r="J152" t="s">
        <v>26</v>
      </c>
      <c r="K152" t="s">
        <v>27</v>
      </c>
      <c r="L152" t="s">
        <v>0</v>
      </c>
      <c r="M152" t="s">
        <v>40</v>
      </c>
    </row>
    <row r="153" spans="1:13" x14ac:dyDescent="0.35">
      <c r="A153" t="s">
        <v>283</v>
      </c>
      <c r="B153">
        <v>3122841345</v>
      </c>
      <c r="C153">
        <v>9165645206</v>
      </c>
      <c r="D153" t="s">
        <v>13</v>
      </c>
      <c r="E153" s="7">
        <v>359</v>
      </c>
      <c r="F153" s="7">
        <v>359</v>
      </c>
      <c r="G153" s="7">
        <v>0</v>
      </c>
      <c r="H153" t="s">
        <v>38</v>
      </c>
      <c r="I153" t="s">
        <v>54</v>
      </c>
      <c r="J153" t="s">
        <v>22</v>
      </c>
      <c r="K153" t="s">
        <v>16</v>
      </c>
      <c r="L153" t="s">
        <v>16</v>
      </c>
      <c r="M153" t="s">
        <v>17</v>
      </c>
    </row>
    <row r="154" spans="1:13" x14ac:dyDescent="0.35">
      <c r="A154" t="s">
        <v>284</v>
      </c>
      <c r="B154">
        <v>2325369510</v>
      </c>
      <c r="C154">
        <v>9752551327</v>
      </c>
      <c r="D154" t="s">
        <v>67</v>
      </c>
      <c r="E154" s="7">
        <v>205</v>
      </c>
      <c r="F154" s="7">
        <v>205</v>
      </c>
      <c r="G154" s="7">
        <v>0</v>
      </c>
      <c r="H154" t="s">
        <v>38</v>
      </c>
      <c r="I154" t="s">
        <v>134</v>
      </c>
      <c r="J154" t="s">
        <v>43</v>
      </c>
      <c r="K154" t="s">
        <v>27</v>
      </c>
      <c r="L154" t="s">
        <v>16</v>
      </c>
      <c r="M154" t="s">
        <v>40</v>
      </c>
    </row>
    <row r="155" spans="1:13" x14ac:dyDescent="0.35">
      <c r="A155" t="s">
        <v>285</v>
      </c>
      <c r="B155">
        <v>226054765</v>
      </c>
      <c r="C155">
        <v>6853034876</v>
      </c>
      <c r="D155" t="s">
        <v>67</v>
      </c>
      <c r="E155" s="7">
        <v>211</v>
      </c>
      <c r="F155" s="7">
        <v>211</v>
      </c>
      <c r="G155" s="7">
        <v>0</v>
      </c>
      <c r="H155" t="s">
        <v>80</v>
      </c>
      <c r="I155" t="s">
        <v>57</v>
      </c>
      <c r="J155" t="s">
        <v>26</v>
      </c>
      <c r="K155" t="s">
        <v>16</v>
      </c>
      <c r="L155" t="s">
        <v>16</v>
      </c>
      <c r="M155" t="s">
        <v>17</v>
      </c>
    </row>
    <row r="156" spans="1:13" x14ac:dyDescent="0.35">
      <c r="A156" t="s">
        <v>286</v>
      </c>
      <c r="B156">
        <v>6365307113</v>
      </c>
      <c r="C156">
        <v>2343189144</v>
      </c>
      <c r="D156" t="s">
        <v>24</v>
      </c>
      <c r="E156" s="7">
        <v>182</v>
      </c>
      <c r="F156" s="7">
        <v>182</v>
      </c>
      <c r="G156" s="7">
        <v>0</v>
      </c>
      <c r="H156" t="s">
        <v>31</v>
      </c>
      <c r="I156" t="s">
        <v>39</v>
      </c>
      <c r="J156" t="s">
        <v>26</v>
      </c>
      <c r="K156" t="s">
        <v>16</v>
      </c>
      <c r="L156" t="s">
        <v>16</v>
      </c>
      <c r="M156" t="s">
        <v>17</v>
      </c>
    </row>
    <row r="157" spans="1:13" x14ac:dyDescent="0.35">
      <c r="A157" t="s">
        <v>287</v>
      </c>
      <c r="B157">
        <v>8143419395</v>
      </c>
      <c r="C157">
        <v>69035867</v>
      </c>
      <c r="D157" t="s">
        <v>24</v>
      </c>
      <c r="E157" s="7">
        <v>495</v>
      </c>
      <c r="F157" s="7">
        <v>320</v>
      </c>
      <c r="G157" s="7">
        <v>175</v>
      </c>
      <c r="H157" t="s">
        <v>35</v>
      </c>
      <c r="I157" t="s">
        <v>220</v>
      </c>
      <c r="J157" t="s">
        <v>26</v>
      </c>
      <c r="K157" t="s">
        <v>0</v>
      </c>
      <c r="L157" t="s">
        <v>894</v>
      </c>
      <c r="M157" t="s">
        <v>28</v>
      </c>
    </row>
    <row r="158" spans="1:13" x14ac:dyDescent="0.35">
      <c r="A158" t="s">
        <v>288</v>
      </c>
      <c r="B158">
        <v>1899081171</v>
      </c>
      <c r="C158">
        <v>3736465905</v>
      </c>
      <c r="D158" t="s">
        <v>19</v>
      </c>
      <c r="E158" s="7">
        <v>418</v>
      </c>
      <c r="F158" s="7">
        <v>418</v>
      </c>
      <c r="G158" s="7">
        <v>0</v>
      </c>
      <c r="H158" t="s">
        <v>53</v>
      </c>
      <c r="I158" t="s">
        <v>231</v>
      </c>
      <c r="J158" t="s">
        <v>43</v>
      </c>
      <c r="K158" t="s">
        <v>0</v>
      </c>
      <c r="L158" t="s">
        <v>16</v>
      </c>
      <c r="M158" t="s">
        <v>44</v>
      </c>
    </row>
    <row r="159" spans="1:13" x14ac:dyDescent="0.35">
      <c r="A159" t="s">
        <v>289</v>
      </c>
      <c r="B159">
        <v>4766670055</v>
      </c>
      <c r="C159">
        <v>7078540382</v>
      </c>
      <c r="D159" t="s">
        <v>24</v>
      </c>
      <c r="E159" s="7">
        <v>306</v>
      </c>
      <c r="F159" s="7">
        <v>0</v>
      </c>
      <c r="G159" s="7">
        <v>306</v>
      </c>
      <c r="H159" t="s">
        <v>99</v>
      </c>
      <c r="I159" t="s">
        <v>25</v>
      </c>
      <c r="J159" t="s">
        <v>43</v>
      </c>
      <c r="K159" t="s">
        <v>0</v>
      </c>
      <c r="L159" t="s">
        <v>0</v>
      </c>
      <c r="M159" t="s">
        <v>44</v>
      </c>
    </row>
    <row r="160" spans="1:13" x14ac:dyDescent="0.35">
      <c r="A160" t="s">
        <v>290</v>
      </c>
      <c r="B160">
        <v>5161831992</v>
      </c>
      <c r="C160">
        <v>7180734565</v>
      </c>
      <c r="D160" t="s">
        <v>24</v>
      </c>
      <c r="E160" s="7">
        <v>236</v>
      </c>
      <c r="F160" s="7">
        <v>236</v>
      </c>
      <c r="G160" s="7">
        <v>0</v>
      </c>
      <c r="H160" t="s">
        <v>70</v>
      </c>
      <c r="I160" t="s">
        <v>168</v>
      </c>
      <c r="J160" t="s">
        <v>22</v>
      </c>
      <c r="K160" t="s">
        <v>16</v>
      </c>
      <c r="L160" t="s">
        <v>16</v>
      </c>
      <c r="M160" t="s">
        <v>17</v>
      </c>
    </row>
    <row r="161" spans="1:13" x14ac:dyDescent="0.35">
      <c r="A161" t="s">
        <v>291</v>
      </c>
      <c r="B161">
        <v>9866509071</v>
      </c>
      <c r="C161">
        <v>1809356200</v>
      </c>
      <c r="D161" t="s">
        <v>19</v>
      </c>
      <c r="E161" s="7">
        <v>437</v>
      </c>
      <c r="F161" s="7">
        <v>437</v>
      </c>
      <c r="G161" s="7">
        <v>0</v>
      </c>
      <c r="H161" t="s">
        <v>31</v>
      </c>
      <c r="I161" t="s">
        <v>185</v>
      </c>
      <c r="J161" t="s">
        <v>43</v>
      </c>
      <c r="K161" t="s">
        <v>27</v>
      </c>
      <c r="L161" t="s">
        <v>16</v>
      </c>
      <c r="M161" t="s">
        <v>40</v>
      </c>
    </row>
    <row r="162" spans="1:13" x14ac:dyDescent="0.35">
      <c r="A162" t="s">
        <v>292</v>
      </c>
      <c r="B162">
        <v>3594389213</v>
      </c>
      <c r="C162">
        <v>3113601299</v>
      </c>
      <c r="D162" t="s">
        <v>13</v>
      </c>
      <c r="E162" s="7">
        <v>108</v>
      </c>
      <c r="F162" s="7">
        <v>0</v>
      </c>
      <c r="G162" s="7">
        <v>108</v>
      </c>
      <c r="H162" t="s">
        <v>31</v>
      </c>
      <c r="I162" t="s">
        <v>88</v>
      </c>
      <c r="J162" t="s">
        <v>43</v>
      </c>
      <c r="K162" t="s">
        <v>27</v>
      </c>
      <c r="L162" t="s">
        <v>0</v>
      </c>
      <c r="M162" t="s">
        <v>58</v>
      </c>
    </row>
    <row r="163" spans="1:13" x14ac:dyDescent="0.35">
      <c r="A163" t="s">
        <v>293</v>
      </c>
      <c r="B163">
        <v>1798037143</v>
      </c>
      <c r="C163">
        <v>2576643386</v>
      </c>
      <c r="D163" t="s">
        <v>13</v>
      </c>
      <c r="E163" s="7">
        <v>421</v>
      </c>
      <c r="F163" s="7">
        <v>421</v>
      </c>
      <c r="G163" s="7">
        <v>0</v>
      </c>
      <c r="H163" t="s">
        <v>20</v>
      </c>
      <c r="I163" t="s">
        <v>161</v>
      </c>
      <c r="J163" t="s">
        <v>26</v>
      </c>
      <c r="K163" t="s">
        <v>16</v>
      </c>
      <c r="L163" t="s">
        <v>16</v>
      </c>
      <c r="M163" t="s">
        <v>17</v>
      </c>
    </row>
    <row r="164" spans="1:13" x14ac:dyDescent="0.35">
      <c r="A164" t="s">
        <v>294</v>
      </c>
      <c r="B164">
        <v>5658593746</v>
      </c>
      <c r="C164">
        <v>4027037581</v>
      </c>
      <c r="D164" t="s">
        <v>24</v>
      </c>
      <c r="E164" s="7">
        <v>456</v>
      </c>
      <c r="F164" s="7">
        <v>0</v>
      </c>
      <c r="G164" s="7">
        <v>456</v>
      </c>
      <c r="H164" t="s">
        <v>35</v>
      </c>
      <c r="I164" t="s">
        <v>97</v>
      </c>
      <c r="J164" t="s">
        <v>26</v>
      </c>
      <c r="K164" t="s">
        <v>0</v>
      </c>
      <c r="L164" t="s">
        <v>0</v>
      </c>
      <c r="M164" t="s">
        <v>55</v>
      </c>
    </row>
    <row r="165" spans="1:13" x14ac:dyDescent="0.35">
      <c r="A165" t="s">
        <v>295</v>
      </c>
      <c r="B165">
        <v>6744823555</v>
      </c>
      <c r="C165">
        <v>6194960851</v>
      </c>
      <c r="D165" t="s">
        <v>13</v>
      </c>
      <c r="E165" s="7">
        <v>349</v>
      </c>
      <c r="F165" s="7">
        <v>349</v>
      </c>
      <c r="G165" s="7">
        <v>0</v>
      </c>
      <c r="H165" t="s">
        <v>14</v>
      </c>
      <c r="I165" t="s">
        <v>46</v>
      </c>
      <c r="J165" t="s">
        <v>26</v>
      </c>
      <c r="K165" t="s">
        <v>16</v>
      </c>
      <c r="L165" t="s">
        <v>16</v>
      </c>
      <c r="M165" t="s">
        <v>17</v>
      </c>
    </row>
    <row r="166" spans="1:13" x14ac:dyDescent="0.35">
      <c r="A166" t="s">
        <v>296</v>
      </c>
      <c r="B166">
        <v>3517172899</v>
      </c>
      <c r="C166">
        <v>7461143000</v>
      </c>
      <c r="D166" t="s">
        <v>19</v>
      </c>
      <c r="E166" s="7">
        <v>361</v>
      </c>
      <c r="F166" s="7">
        <v>242</v>
      </c>
      <c r="G166" s="7">
        <v>119</v>
      </c>
      <c r="H166" t="s">
        <v>38</v>
      </c>
      <c r="I166" t="s">
        <v>65</v>
      </c>
      <c r="J166" t="s">
        <v>22</v>
      </c>
      <c r="K166" t="s">
        <v>27</v>
      </c>
      <c r="L166" t="s">
        <v>894</v>
      </c>
      <c r="M166" t="s">
        <v>58</v>
      </c>
    </row>
    <row r="167" spans="1:13" x14ac:dyDescent="0.35">
      <c r="A167" t="s">
        <v>297</v>
      </c>
      <c r="B167">
        <v>426438748</v>
      </c>
      <c r="C167">
        <v>6888904397</v>
      </c>
      <c r="D167" t="s">
        <v>13</v>
      </c>
      <c r="E167" s="7">
        <v>213</v>
      </c>
      <c r="F167" s="7">
        <v>213</v>
      </c>
      <c r="G167" s="7">
        <v>0</v>
      </c>
      <c r="H167" t="s">
        <v>53</v>
      </c>
      <c r="I167" t="s">
        <v>122</v>
      </c>
      <c r="J167" t="s">
        <v>22</v>
      </c>
      <c r="K167" t="s">
        <v>0</v>
      </c>
      <c r="L167" t="s">
        <v>16</v>
      </c>
      <c r="M167" t="s">
        <v>126</v>
      </c>
    </row>
    <row r="168" spans="1:13" x14ac:dyDescent="0.35">
      <c r="A168" t="s">
        <v>298</v>
      </c>
      <c r="B168">
        <v>2234388177</v>
      </c>
      <c r="C168">
        <v>6166259191</v>
      </c>
      <c r="D168" t="s">
        <v>13</v>
      </c>
      <c r="E168" s="7">
        <v>222</v>
      </c>
      <c r="F168" s="7">
        <v>222</v>
      </c>
      <c r="G168" s="7">
        <v>0</v>
      </c>
      <c r="H168" t="s">
        <v>20</v>
      </c>
      <c r="I168" t="s">
        <v>237</v>
      </c>
      <c r="J168" t="s">
        <v>43</v>
      </c>
      <c r="K168" t="s">
        <v>16</v>
      </c>
      <c r="L168" t="s">
        <v>16</v>
      </c>
      <c r="M168" t="s">
        <v>17</v>
      </c>
    </row>
    <row r="169" spans="1:13" x14ac:dyDescent="0.35">
      <c r="A169" t="s">
        <v>299</v>
      </c>
      <c r="B169">
        <v>8048684118</v>
      </c>
      <c r="C169">
        <v>1461079912</v>
      </c>
      <c r="D169" t="s">
        <v>30</v>
      </c>
      <c r="E169" s="7">
        <v>181</v>
      </c>
      <c r="F169" s="7">
        <v>181</v>
      </c>
      <c r="G169" s="7">
        <v>0</v>
      </c>
      <c r="H169" t="s">
        <v>80</v>
      </c>
      <c r="I169" t="s">
        <v>96</v>
      </c>
      <c r="J169" t="s">
        <v>22</v>
      </c>
      <c r="K169" t="s">
        <v>16</v>
      </c>
      <c r="L169" t="s">
        <v>16</v>
      </c>
      <c r="M169" t="s">
        <v>17</v>
      </c>
    </row>
    <row r="170" spans="1:13" x14ac:dyDescent="0.35">
      <c r="A170" t="s">
        <v>300</v>
      </c>
      <c r="B170">
        <v>4268087104</v>
      </c>
      <c r="C170">
        <v>8107343456</v>
      </c>
      <c r="D170" t="s">
        <v>30</v>
      </c>
      <c r="E170" s="7">
        <v>208</v>
      </c>
      <c r="F170" s="7">
        <v>208</v>
      </c>
      <c r="G170" s="7">
        <v>0</v>
      </c>
      <c r="H170" t="s">
        <v>38</v>
      </c>
      <c r="I170" t="s">
        <v>203</v>
      </c>
      <c r="J170" t="s">
        <v>43</v>
      </c>
      <c r="K170" t="s">
        <v>27</v>
      </c>
      <c r="L170" t="s">
        <v>16</v>
      </c>
      <c r="M170" t="s">
        <v>58</v>
      </c>
    </row>
    <row r="171" spans="1:13" x14ac:dyDescent="0.35">
      <c r="A171" t="s">
        <v>301</v>
      </c>
      <c r="B171">
        <v>7274850471</v>
      </c>
      <c r="C171">
        <v>806587902</v>
      </c>
      <c r="D171" t="s">
        <v>24</v>
      </c>
      <c r="E171" s="7">
        <v>320</v>
      </c>
      <c r="F171" s="7">
        <v>186</v>
      </c>
      <c r="G171" s="7">
        <v>134</v>
      </c>
      <c r="H171" t="s">
        <v>80</v>
      </c>
      <c r="I171" t="s">
        <v>25</v>
      </c>
      <c r="J171" t="s">
        <v>22</v>
      </c>
      <c r="K171" t="s">
        <v>27</v>
      </c>
      <c r="L171" t="s">
        <v>894</v>
      </c>
      <c r="M171" t="s">
        <v>44</v>
      </c>
    </row>
    <row r="172" spans="1:13" x14ac:dyDescent="0.35">
      <c r="A172" t="s">
        <v>302</v>
      </c>
      <c r="B172">
        <v>5267048594</v>
      </c>
      <c r="C172">
        <v>732131331</v>
      </c>
      <c r="D172" t="s">
        <v>30</v>
      </c>
      <c r="E172" s="7">
        <v>407</v>
      </c>
      <c r="F172" s="7">
        <v>407</v>
      </c>
      <c r="G172" s="7">
        <v>0</v>
      </c>
      <c r="H172" t="s">
        <v>31</v>
      </c>
      <c r="I172" t="s">
        <v>303</v>
      </c>
      <c r="J172" t="s">
        <v>26</v>
      </c>
      <c r="K172" t="s">
        <v>16</v>
      </c>
      <c r="L172" t="s">
        <v>16</v>
      </c>
      <c r="M172" t="s">
        <v>17</v>
      </c>
    </row>
    <row r="173" spans="1:13" x14ac:dyDescent="0.35">
      <c r="A173" t="s">
        <v>304</v>
      </c>
      <c r="B173">
        <v>4766493318</v>
      </c>
      <c r="C173">
        <v>3814103870</v>
      </c>
      <c r="D173" t="s">
        <v>13</v>
      </c>
      <c r="E173" s="7">
        <v>324</v>
      </c>
      <c r="F173" s="7">
        <v>324</v>
      </c>
      <c r="G173" s="7">
        <v>0</v>
      </c>
      <c r="H173" t="s">
        <v>56</v>
      </c>
      <c r="I173" t="s">
        <v>142</v>
      </c>
      <c r="J173" t="s">
        <v>26</v>
      </c>
      <c r="K173" t="s">
        <v>0</v>
      </c>
      <c r="L173" t="s">
        <v>16</v>
      </c>
      <c r="M173" t="s">
        <v>55</v>
      </c>
    </row>
    <row r="174" spans="1:13" x14ac:dyDescent="0.35">
      <c r="A174" t="s">
        <v>305</v>
      </c>
      <c r="B174">
        <v>7651174592</v>
      </c>
      <c r="C174">
        <v>3242375529</v>
      </c>
      <c r="D174" t="s">
        <v>30</v>
      </c>
      <c r="E174" s="7">
        <v>152</v>
      </c>
      <c r="F174" s="7">
        <v>152</v>
      </c>
      <c r="G174" s="7">
        <v>0</v>
      </c>
      <c r="H174" t="s">
        <v>70</v>
      </c>
      <c r="I174" t="s">
        <v>239</v>
      </c>
      <c r="J174" t="s">
        <v>26</v>
      </c>
      <c r="K174" t="s">
        <v>27</v>
      </c>
      <c r="L174" t="s">
        <v>16</v>
      </c>
      <c r="M174" t="s">
        <v>33</v>
      </c>
    </row>
    <row r="175" spans="1:13" x14ac:dyDescent="0.35">
      <c r="A175" t="s">
        <v>307</v>
      </c>
      <c r="B175">
        <v>3561974685</v>
      </c>
      <c r="C175">
        <v>4398566938</v>
      </c>
      <c r="D175" t="s">
        <v>30</v>
      </c>
      <c r="E175" s="7">
        <v>435</v>
      </c>
      <c r="F175" s="7">
        <v>339</v>
      </c>
      <c r="G175" s="7">
        <v>96</v>
      </c>
      <c r="H175" t="s">
        <v>20</v>
      </c>
      <c r="I175" t="s">
        <v>21</v>
      </c>
      <c r="J175" t="s">
        <v>43</v>
      </c>
      <c r="K175" t="s">
        <v>0</v>
      </c>
      <c r="L175" t="s">
        <v>894</v>
      </c>
      <c r="M175" t="s">
        <v>28</v>
      </c>
    </row>
    <row r="176" spans="1:13" x14ac:dyDescent="0.35">
      <c r="A176" t="s">
        <v>308</v>
      </c>
      <c r="B176">
        <v>5521027680</v>
      </c>
      <c r="C176">
        <v>2456650289</v>
      </c>
      <c r="D176" t="s">
        <v>24</v>
      </c>
      <c r="E176" s="7">
        <v>116</v>
      </c>
      <c r="F176" s="7">
        <v>0</v>
      </c>
      <c r="G176" s="7">
        <v>116</v>
      </c>
      <c r="H176" t="s">
        <v>38</v>
      </c>
      <c r="I176" t="s">
        <v>168</v>
      </c>
      <c r="J176" t="s">
        <v>22</v>
      </c>
      <c r="K176" t="s">
        <v>0</v>
      </c>
      <c r="L176" t="s">
        <v>0</v>
      </c>
      <c r="M176" t="s">
        <v>58</v>
      </c>
    </row>
    <row r="177" spans="1:13" x14ac:dyDescent="0.35">
      <c r="A177" t="s">
        <v>309</v>
      </c>
      <c r="B177">
        <v>7864007404</v>
      </c>
      <c r="C177">
        <v>7250117317</v>
      </c>
      <c r="D177" t="s">
        <v>30</v>
      </c>
      <c r="E177" s="7">
        <v>267</v>
      </c>
      <c r="F177" s="7">
        <v>0</v>
      </c>
      <c r="G177" s="7">
        <v>267</v>
      </c>
      <c r="H177" t="s">
        <v>80</v>
      </c>
      <c r="I177" t="s">
        <v>137</v>
      </c>
      <c r="J177" t="s">
        <v>43</v>
      </c>
      <c r="K177" t="s">
        <v>27</v>
      </c>
      <c r="L177" t="s">
        <v>0</v>
      </c>
      <c r="M177" t="s">
        <v>58</v>
      </c>
    </row>
    <row r="178" spans="1:13" x14ac:dyDescent="0.35">
      <c r="A178" t="s">
        <v>310</v>
      </c>
      <c r="B178">
        <v>6896845521</v>
      </c>
      <c r="C178">
        <v>5299226902</v>
      </c>
      <c r="D178" t="s">
        <v>30</v>
      </c>
      <c r="E178" s="7">
        <v>196</v>
      </c>
      <c r="F178" s="7">
        <v>196</v>
      </c>
      <c r="G178" s="7">
        <v>0</v>
      </c>
      <c r="H178" t="s">
        <v>56</v>
      </c>
      <c r="I178" t="s">
        <v>138</v>
      </c>
      <c r="J178" t="s">
        <v>22</v>
      </c>
      <c r="K178" t="s">
        <v>16</v>
      </c>
      <c r="L178" t="s">
        <v>16</v>
      </c>
      <c r="M178" t="s">
        <v>17</v>
      </c>
    </row>
    <row r="179" spans="1:13" x14ac:dyDescent="0.35">
      <c r="A179" t="s">
        <v>311</v>
      </c>
      <c r="B179">
        <v>1404479344</v>
      </c>
      <c r="C179">
        <v>6136803061</v>
      </c>
      <c r="D179" t="s">
        <v>13</v>
      </c>
      <c r="E179" s="7">
        <v>207</v>
      </c>
      <c r="F179" s="7">
        <v>0</v>
      </c>
      <c r="G179" s="7">
        <v>207</v>
      </c>
      <c r="H179" t="s">
        <v>38</v>
      </c>
      <c r="I179" t="s">
        <v>117</v>
      </c>
      <c r="J179" t="s">
        <v>26</v>
      </c>
      <c r="K179" t="s">
        <v>0</v>
      </c>
      <c r="L179" t="s">
        <v>0</v>
      </c>
      <c r="M179" t="s">
        <v>28</v>
      </c>
    </row>
    <row r="180" spans="1:13" x14ac:dyDescent="0.35">
      <c r="A180" t="s">
        <v>312</v>
      </c>
      <c r="B180">
        <v>111343888</v>
      </c>
      <c r="C180">
        <v>2826845391</v>
      </c>
      <c r="D180" t="s">
        <v>24</v>
      </c>
      <c r="E180" s="7">
        <v>418</v>
      </c>
      <c r="F180" s="7">
        <v>0</v>
      </c>
      <c r="G180" s="7">
        <v>418</v>
      </c>
      <c r="H180" t="s">
        <v>35</v>
      </c>
      <c r="I180" t="s">
        <v>173</v>
      </c>
      <c r="J180" t="s">
        <v>43</v>
      </c>
      <c r="K180" t="s">
        <v>0</v>
      </c>
      <c r="L180" t="s">
        <v>0</v>
      </c>
      <c r="M180" t="s">
        <v>40</v>
      </c>
    </row>
    <row r="181" spans="1:13" x14ac:dyDescent="0.35">
      <c r="A181" t="s">
        <v>313</v>
      </c>
      <c r="B181">
        <v>4116284142</v>
      </c>
      <c r="C181">
        <v>6072263395</v>
      </c>
      <c r="D181" t="s">
        <v>24</v>
      </c>
      <c r="E181" s="7">
        <v>446</v>
      </c>
      <c r="F181" s="7">
        <v>0</v>
      </c>
      <c r="G181" s="7">
        <v>446</v>
      </c>
      <c r="H181" t="s">
        <v>31</v>
      </c>
      <c r="I181" t="s">
        <v>314</v>
      </c>
      <c r="J181" t="s">
        <v>43</v>
      </c>
      <c r="K181" t="s">
        <v>27</v>
      </c>
      <c r="L181" t="s">
        <v>0</v>
      </c>
      <c r="M181" t="s">
        <v>55</v>
      </c>
    </row>
    <row r="182" spans="1:13" x14ac:dyDescent="0.35">
      <c r="A182" t="s">
        <v>315</v>
      </c>
      <c r="B182">
        <v>6034872297</v>
      </c>
      <c r="C182">
        <v>1183596686</v>
      </c>
      <c r="D182" t="s">
        <v>30</v>
      </c>
      <c r="E182" s="7">
        <v>214</v>
      </c>
      <c r="F182" s="7">
        <v>178</v>
      </c>
      <c r="G182" s="7">
        <v>36</v>
      </c>
      <c r="H182" t="s">
        <v>20</v>
      </c>
      <c r="I182" t="s">
        <v>183</v>
      </c>
      <c r="J182" t="s">
        <v>26</v>
      </c>
      <c r="K182" t="s">
        <v>27</v>
      </c>
      <c r="L182" t="s">
        <v>894</v>
      </c>
      <c r="M182" t="s">
        <v>28</v>
      </c>
    </row>
    <row r="183" spans="1:13" x14ac:dyDescent="0.35">
      <c r="A183" t="s">
        <v>316</v>
      </c>
      <c r="B183">
        <v>3284140919</v>
      </c>
      <c r="C183">
        <v>7714365852</v>
      </c>
      <c r="D183" t="s">
        <v>19</v>
      </c>
      <c r="E183" s="7">
        <v>135</v>
      </c>
      <c r="F183" s="7">
        <v>0</v>
      </c>
      <c r="G183" s="7">
        <v>135</v>
      </c>
      <c r="H183" t="s">
        <v>38</v>
      </c>
      <c r="I183" t="s">
        <v>317</v>
      </c>
      <c r="J183" t="s">
        <v>43</v>
      </c>
      <c r="K183" t="s">
        <v>27</v>
      </c>
      <c r="L183" t="s">
        <v>0</v>
      </c>
      <c r="M183" t="s">
        <v>51</v>
      </c>
    </row>
    <row r="184" spans="1:13" x14ac:dyDescent="0.35">
      <c r="A184" t="s">
        <v>318</v>
      </c>
      <c r="B184">
        <v>1519186646</v>
      </c>
      <c r="C184">
        <v>8072567125</v>
      </c>
      <c r="D184" t="s">
        <v>30</v>
      </c>
      <c r="E184" s="7">
        <v>203</v>
      </c>
      <c r="F184" s="7">
        <v>132</v>
      </c>
      <c r="G184" s="7">
        <v>71</v>
      </c>
      <c r="H184" t="s">
        <v>53</v>
      </c>
      <c r="I184" t="s">
        <v>65</v>
      </c>
      <c r="J184" t="s">
        <v>22</v>
      </c>
      <c r="K184" t="s">
        <v>0</v>
      </c>
      <c r="L184" t="s">
        <v>894</v>
      </c>
      <c r="M184" t="s">
        <v>28</v>
      </c>
    </row>
    <row r="185" spans="1:13" x14ac:dyDescent="0.35">
      <c r="A185" t="s">
        <v>319</v>
      </c>
      <c r="B185">
        <v>6028720764</v>
      </c>
      <c r="C185">
        <v>9077198075</v>
      </c>
      <c r="D185" t="s">
        <v>13</v>
      </c>
      <c r="E185" s="7">
        <v>472</v>
      </c>
      <c r="F185" s="7">
        <v>472</v>
      </c>
      <c r="G185" s="7">
        <v>0</v>
      </c>
      <c r="H185" t="s">
        <v>70</v>
      </c>
      <c r="I185" t="s">
        <v>168</v>
      </c>
      <c r="J185" t="s">
        <v>26</v>
      </c>
      <c r="K185" t="s">
        <v>0</v>
      </c>
      <c r="L185" t="s">
        <v>16</v>
      </c>
      <c r="M185" t="s">
        <v>58</v>
      </c>
    </row>
    <row r="186" spans="1:13" x14ac:dyDescent="0.35">
      <c r="A186" t="s">
        <v>320</v>
      </c>
      <c r="B186">
        <v>8417655171</v>
      </c>
      <c r="C186">
        <v>5080353117</v>
      </c>
      <c r="D186" t="s">
        <v>24</v>
      </c>
      <c r="E186" s="7">
        <v>303</v>
      </c>
      <c r="F186" s="7">
        <v>184</v>
      </c>
      <c r="G186" s="7">
        <v>119</v>
      </c>
      <c r="H186" t="s">
        <v>53</v>
      </c>
      <c r="I186" t="s">
        <v>201</v>
      </c>
      <c r="J186" t="s">
        <v>26</v>
      </c>
      <c r="K186" t="s">
        <v>0</v>
      </c>
      <c r="L186" t="s">
        <v>894</v>
      </c>
      <c r="M186" t="s">
        <v>126</v>
      </c>
    </row>
    <row r="187" spans="1:13" x14ac:dyDescent="0.35">
      <c r="A187" t="s">
        <v>321</v>
      </c>
      <c r="B187">
        <v>8257611017</v>
      </c>
      <c r="C187">
        <v>3873027915</v>
      </c>
      <c r="D187" t="s">
        <v>13</v>
      </c>
      <c r="E187" s="7">
        <v>217</v>
      </c>
      <c r="F187" s="7">
        <v>158</v>
      </c>
      <c r="G187" s="7">
        <v>59</v>
      </c>
      <c r="H187" t="s">
        <v>70</v>
      </c>
      <c r="I187" t="s">
        <v>159</v>
      </c>
      <c r="J187" t="s">
        <v>22</v>
      </c>
      <c r="K187" t="s">
        <v>0</v>
      </c>
      <c r="L187" t="s">
        <v>894</v>
      </c>
      <c r="M187" t="s">
        <v>44</v>
      </c>
    </row>
    <row r="188" spans="1:13" x14ac:dyDescent="0.35">
      <c r="A188" t="s">
        <v>322</v>
      </c>
      <c r="B188">
        <v>539159241</v>
      </c>
      <c r="C188">
        <v>563454150</v>
      </c>
      <c r="D188" t="s">
        <v>24</v>
      </c>
      <c r="E188" s="7">
        <v>444</v>
      </c>
      <c r="F188" s="7">
        <v>324</v>
      </c>
      <c r="G188" s="7">
        <v>120</v>
      </c>
      <c r="H188" t="s">
        <v>53</v>
      </c>
      <c r="I188" t="s">
        <v>216</v>
      </c>
      <c r="J188" t="s">
        <v>26</v>
      </c>
      <c r="K188" t="s">
        <v>27</v>
      </c>
      <c r="L188" t="s">
        <v>894</v>
      </c>
      <c r="M188" t="s">
        <v>126</v>
      </c>
    </row>
    <row r="189" spans="1:13" x14ac:dyDescent="0.35">
      <c r="A189" t="s">
        <v>323</v>
      </c>
      <c r="B189">
        <v>9457942986</v>
      </c>
      <c r="C189">
        <v>6966673045</v>
      </c>
      <c r="D189" t="s">
        <v>30</v>
      </c>
      <c r="E189" s="7">
        <v>488</v>
      </c>
      <c r="F189" s="7">
        <v>0</v>
      </c>
      <c r="G189" s="7">
        <v>488</v>
      </c>
      <c r="H189" t="s">
        <v>53</v>
      </c>
      <c r="I189" t="s">
        <v>256</v>
      </c>
      <c r="J189" t="s">
        <v>26</v>
      </c>
      <c r="K189" t="s">
        <v>0</v>
      </c>
      <c r="L189" t="s">
        <v>0</v>
      </c>
      <c r="M189" t="s">
        <v>126</v>
      </c>
    </row>
    <row r="190" spans="1:13" x14ac:dyDescent="0.35">
      <c r="A190" t="s">
        <v>324</v>
      </c>
      <c r="B190">
        <v>3080431034</v>
      </c>
      <c r="C190">
        <v>2819026310</v>
      </c>
      <c r="D190" t="s">
        <v>30</v>
      </c>
      <c r="E190" s="7">
        <v>144</v>
      </c>
      <c r="F190" s="7">
        <v>0</v>
      </c>
      <c r="G190" s="7">
        <v>144</v>
      </c>
      <c r="H190" t="s">
        <v>31</v>
      </c>
      <c r="I190" t="s">
        <v>239</v>
      </c>
      <c r="J190" t="s">
        <v>26</v>
      </c>
      <c r="K190" t="s">
        <v>0</v>
      </c>
      <c r="L190" t="s">
        <v>0</v>
      </c>
      <c r="M190" t="s">
        <v>126</v>
      </c>
    </row>
    <row r="191" spans="1:13" x14ac:dyDescent="0.35">
      <c r="A191" t="s">
        <v>325</v>
      </c>
      <c r="B191">
        <v>9814594406</v>
      </c>
      <c r="C191">
        <v>2110313594</v>
      </c>
      <c r="D191" t="s">
        <v>30</v>
      </c>
      <c r="E191" s="7">
        <v>461</v>
      </c>
      <c r="F191" s="7">
        <v>0</v>
      </c>
      <c r="G191" s="7">
        <v>461</v>
      </c>
      <c r="H191" t="s">
        <v>80</v>
      </c>
      <c r="I191" t="s">
        <v>215</v>
      </c>
      <c r="J191" t="s">
        <v>26</v>
      </c>
      <c r="K191" t="s">
        <v>27</v>
      </c>
      <c r="L191" t="s">
        <v>0</v>
      </c>
      <c r="M191" t="s">
        <v>55</v>
      </c>
    </row>
    <row r="192" spans="1:13" x14ac:dyDescent="0.35">
      <c r="A192" t="s">
        <v>326</v>
      </c>
      <c r="B192">
        <v>5371024172</v>
      </c>
      <c r="C192">
        <v>263933529</v>
      </c>
      <c r="D192" t="s">
        <v>24</v>
      </c>
      <c r="E192" s="7">
        <v>126</v>
      </c>
      <c r="F192" s="7">
        <v>0</v>
      </c>
      <c r="G192" s="7">
        <v>126</v>
      </c>
      <c r="H192" t="s">
        <v>20</v>
      </c>
      <c r="I192" t="s">
        <v>85</v>
      </c>
      <c r="J192" t="s">
        <v>43</v>
      </c>
      <c r="K192" t="s">
        <v>27</v>
      </c>
      <c r="L192" t="s">
        <v>0</v>
      </c>
      <c r="M192" t="s">
        <v>126</v>
      </c>
    </row>
    <row r="193" spans="1:13" x14ac:dyDescent="0.35">
      <c r="A193" t="s">
        <v>327</v>
      </c>
      <c r="B193">
        <v>6965268510</v>
      </c>
      <c r="C193">
        <v>7927019857</v>
      </c>
      <c r="D193" t="s">
        <v>67</v>
      </c>
      <c r="E193" s="7">
        <v>129</v>
      </c>
      <c r="F193" s="7">
        <v>82</v>
      </c>
      <c r="G193" s="7">
        <v>47</v>
      </c>
      <c r="H193" t="s">
        <v>14</v>
      </c>
      <c r="I193" t="s">
        <v>149</v>
      </c>
      <c r="J193" t="s">
        <v>43</v>
      </c>
      <c r="K193" t="s">
        <v>0</v>
      </c>
      <c r="L193" t="s">
        <v>894</v>
      </c>
      <c r="M193" t="s">
        <v>33</v>
      </c>
    </row>
    <row r="194" spans="1:13" x14ac:dyDescent="0.35">
      <c r="A194" t="s">
        <v>328</v>
      </c>
      <c r="B194">
        <v>7149722931</v>
      </c>
      <c r="C194">
        <v>9863745434</v>
      </c>
      <c r="D194" t="s">
        <v>19</v>
      </c>
      <c r="E194" s="7">
        <v>120</v>
      </c>
      <c r="F194" s="7">
        <v>120</v>
      </c>
      <c r="G194" s="7">
        <v>0</v>
      </c>
      <c r="H194" t="s">
        <v>35</v>
      </c>
      <c r="I194" t="s">
        <v>71</v>
      </c>
      <c r="J194" t="s">
        <v>43</v>
      </c>
      <c r="K194" t="s">
        <v>27</v>
      </c>
      <c r="L194" t="s">
        <v>16</v>
      </c>
      <c r="M194" t="s">
        <v>55</v>
      </c>
    </row>
    <row r="195" spans="1:13" x14ac:dyDescent="0.35">
      <c r="A195" t="s">
        <v>329</v>
      </c>
      <c r="B195">
        <v>7754095572</v>
      </c>
      <c r="C195">
        <v>6307034909</v>
      </c>
      <c r="D195" t="s">
        <v>19</v>
      </c>
      <c r="E195" s="7">
        <v>361</v>
      </c>
      <c r="F195" s="7">
        <v>0</v>
      </c>
      <c r="G195" s="7">
        <v>361</v>
      </c>
      <c r="H195" t="s">
        <v>38</v>
      </c>
      <c r="I195" t="s">
        <v>76</v>
      </c>
      <c r="J195" t="s">
        <v>43</v>
      </c>
      <c r="K195" t="s">
        <v>0</v>
      </c>
      <c r="L195" t="s">
        <v>0</v>
      </c>
      <c r="M195" t="s">
        <v>40</v>
      </c>
    </row>
    <row r="196" spans="1:13" x14ac:dyDescent="0.35">
      <c r="A196" t="s">
        <v>330</v>
      </c>
      <c r="B196">
        <v>61667750</v>
      </c>
      <c r="C196">
        <v>3640025436</v>
      </c>
      <c r="D196" t="s">
        <v>19</v>
      </c>
      <c r="E196" s="7">
        <v>350</v>
      </c>
      <c r="F196" s="7">
        <v>0</v>
      </c>
      <c r="G196" s="7">
        <v>350</v>
      </c>
      <c r="H196" t="s">
        <v>99</v>
      </c>
      <c r="I196" t="s">
        <v>221</v>
      </c>
      <c r="J196" t="s">
        <v>26</v>
      </c>
      <c r="K196" t="s">
        <v>0</v>
      </c>
      <c r="L196" t="s">
        <v>0</v>
      </c>
      <c r="M196" t="s">
        <v>28</v>
      </c>
    </row>
    <row r="197" spans="1:13" x14ac:dyDescent="0.35">
      <c r="A197" t="s">
        <v>331</v>
      </c>
      <c r="B197">
        <v>8554258997</v>
      </c>
      <c r="C197">
        <v>4301309987</v>
      </c>
      <c r="D197" t="s">
        <v>67</v>
      </c>
      <c r="E197" s="7">
        <v>450</v>
      </c>
      <c r="F197" s="7">
        <v>450</v>
      </c>
      <c r="G197" s="7">
        <v>0</v>
      </c>
      <c r="H197" t="s">
        <v>20</v>
      </c>
      <c r="I197" t="s">
        <v>134</v>
      </c>
      <c r="J197" t="s">
        <v>26</v>
      </c>
      <c r="K197" t="s">
        <v>16</v>
      </c>
      <c r="L197" t="s">
        <v>16</v>
      </c>
      <c r="M197" t="s">
        <v>17</v>
      </c>
    </row>
    <row r="198" spans="1:13" x14ac:dyDescent="0.35">
      <c r="A198" t="s">
        <v>332</v>
      </c>
      <c r="B198">
        <v>9615986059</v>
      </c>
      <c r="C198">
        <v>4259262565</v>
      </c>
      <c r="D198" t="s">
        <v>30</v>
      </c>
      <c r="E198" s="7">
        <v>133</v>
      </c>
      <c r="F198" s="7">
        <v>0</v>
      </c>
      <c r="G198" s="7">
        <v>133</v>
      </c>
      <c r="H198" t="s">
        <v>70</v>
      </c>
      <c r="I198" t="s">
        <v>199</v>
      </c>
      <c r="J198" t="s">
        <v>22</v>
      </c>
      <c r="K198" t="s">
        <v>0</v>
      </c>
      <c r="L198" t="s">
        <v>0</v>
      </c>
      <c r="M198" t="s">
        <v>44</v>
      </c>
    </row>
    <row r="199" spans="1:13" x14ac:dyDescent="0.35">
      <c r="A199" t="s">
        <v>333</v>
      </c>
      <c r="B199">
        <v>5735726063</v>
      </c>
      <c r="C199">
        <v>5714659263</v>
      </c>
      <c r="D199" t="s">
        <v>19</v>
      </c>
      <c r="E199" s="7">
        <v>484</v>
      </c>
      <c r="F199" s="7">
        <v>484</v>
      </c>
      <c r="G199" s="7">
        <v>0</v>
      </c>
      <c r="H199" t="s">
        <v>70</v>
      </c>
      <c r="I199" t="s">
        <v>36</v>
      </c>
      <c r="J199" t="s">
        <v>26</v>
      </c>
      <c r="K199" t="s">
        <v>0</v>
      </c>
      <c r="L199" t="s">
        <v>16</v>
      </c>
      <c r="M199" t="s">
        <v>126</v>
      </c>
    </row>
    <row r="200" spans="1:13" x14ac:dyDescent="0.35">
      <c r="A200" t="s">
        <v>334</v>
      </c>
      <c r="B200">
        <v>7173851900</v>
      </c>
      <c r="C200">
        <v>9964057423</v>
      </c>
      <c r="D200" t="s">
        <v>19</v>
      </c>
      <c r="E200" s="7">
        <v>147</v>
      </c>
      <c r="F200" s="7">
        <v>0</v>
      </c>
      <c r="G200" s="7">
        <v>147</v>
      </c>
      <c r="H200" t="s">
        <v>20</v>
      </c>
      <c r="I200" t="s">
        <v>88</v>
      </c>
      <c r="J200" t="s">
        <v>22</v>
      </c>
      <c r="K200" t="s">
        <v>0</v>
      </c>
      <c r="L200" t="s">
        <v>0</v>
      </c>
      <c r="M200" t="s">
        <v>28</v>
      </c>
    </row>
    <row r="201" spans="1:13" x14ac:dyDescent="0.35">
      <c r="A201" t="s">
        <v>335</v>
      </c>
      <c r="B201">
        <v>6694579282</v>
      </c>
      <c r="C201">
        <v>9440826536</v>
      </c>
      <c r="D201" t="s">
        <v>13</v>
      </c>
      <c r="E201" s="7">
        <v>376</v>
      </c>
      <c r="F201" s="7">
        <v>211</v>
      </c>
      <c r="G201" s="7">
        <v>165</v>
      </c>
      <c r="H201" t="s">
        <v>70</v>
      </c>
      <c r="I201" t="s">
        <v>74</v>
      </c>
      <c r="J201" t="s">
        <v>43</v>
      </c>
      <c r="K201" t="s">
        <v>27</v>
      </c>
      <c r="L201" t="s">
        <v>894</v>
      </c>
      <c r="M201" t="s">
        <v>44</v>
      </c>
    </row>
    <row r="202" spans="1:13" x14ac:dyDescent="0.35">
      <c r="A202" t="s">
        <v>336</v>
      </c>
      <c r="B202">
        <v>7233443454</v>
      </c>
      <c r="C202">
        <v>9145404833</v>
      </c>
      <c r="D202" t="s">
        <v>24</v>
      </c>
      <c r="E202" s="7">
        <v>117</v>
      </c>
      <c r="F202" s="7">
        <v>0</v>
      </c>
      <c r="G202" s="7">
        <v>117</v>
      </c>
      <c r="H202" t="s">
        <v>14</v>
      </c>
      <c r="I202" t="s">
        <v>32</v>
      </c>
      <c r="J202" t="s">
        <v>43</v>
      </c>
      <c r="K202" t="s">
        <v>27</v>
      </c>
      <c r="L202" t="s">
        <v>0</v>
      </c>
      <c r="M202" t="s">
        <v>44</v>
      </c>
    </row>
    <row r="203" spans="1:13" x14ac:dyDescent="0.35">
      <c r="A203" t="s">
        <v>337</v>
      </c>
      <c r="B203">
        <v>2928797033</v>
      </c>
      <c r="C203">
        <v>1157207911</v>
      </c>
      <c r="D203" t="s">
        <v>19</v>
      </c>
      <c r="E203" s="7">
        <v>119</v>
      </c>
      <c r="F203" s="7">
        <v>0</v>
      </c>
      <c r="G203" s="7">
        <v>119</v>
      </c>
      <c r="H203" t="s">
        <v>31</v>
      </c>
      <c r="I203" t="s">
        <v>142</v>
      </c>
      <c r="J203" t="s">
        <v>22</v>
      </c>
      <c r="K203" t="s">
        <v>0</v>
      </c>
      <c r="L203" t="s">
        <v>0</v>
      </c>
      <c r="M203" t="s">
        <v>40</v>
      </c>
    </row>
    <row r="204" spans="1:13" x14ac:dyDescent="0.35">
      <c r="A204" t="s">
        <v>338</v>
      </c>
      <c r="B204">
        <v>456145390</v>
      </c>
      <c r="C204">
        <v>9008471630</v>
      </c>
      <c r="D204" t="s">
        <v>24</v>
      </c>
      <c r="E204" s="7">
        <v>172</v>
      </c>
      <c r="F204" s="7">
        <v>172</v>
      </c>
      <c r="G204" s="7">
        <v>0</v>
      </c>
      <c r="H204" t="s">
        <v>80</v>
      </c>
      <c r="I204" t="s">
        <v>46</v>
      </c>
      <c r="J204" t="s">
        <v>22</v>
      </c>
      <c r="K204" t="s">
        <v>27</v>
      </c>
      <c r="L204" t="s">
        <v>16</v>
      </c>
      <c r="M204" t="s">
        <v>40</v>
      </c>
    </row>
    <row r="205" spans="1:13" x14ac:dyDescent="0.35">
      <c r="A205" t="s">
        <v>339</v>
      </c>
      <c r="B205">
        <v>7285626297</v>
      </c>
      <c r="C205">
        <v>286087718</v>
      </c>
      <c r="D205" t="s">
        <v>24</v>
      </c>
      <c r="E205" s="7">
        <v>177</v>
      </c>
      <c r="F205" s="7">
        <v>177</v>
      </c>
      <c r="G205" s="7">
        <v>0</v>
      </c>
      <c r="H205" t="s">
        <v>35</v>
      </c>
      <c r="I205" t="s">
        <v>140</v>
      </c>
      <c r="J205" t="s">
        <v>26</v>
      </c>
      <c r="K205" t="s">
        <v>0</v>
      </c>
      <c r="L205" t="s">
        <v>16</v>
      </c>
      <c r="M205" t="s">
        <v>40</v>
      </c>
    </row>
    <row r="206" spans="1:13" x14ac:dyDescent="0.35">
      <c r="A206" t="s">
        <v>340</v>
      </c>
      <c r="B206">
        <v>2869409083</v>
      </c>
      <c r="C206">
        <v>1114596644</v>
      </c>
      <c r="D206" t="s">
        <v>13</v>
      </c>
      <c r="E206" s="7">
        <v>485</v>
      </c>
      <c r="F206" s="7">
        <v>485</v>
      </c>
      <c r="G206" s="7">
        <v>0</v>
      </c>
      <c r="H206" t="s">
        <v>38</v>
      </c>
      <c r="I206" t="s">
        <v>268</v>
      </c>
      <c r="J206" t="s">
        <v>26</v>
      </c>
      <c r="K206" t="s">
        <v>16</v>
      </c>
      <c r="L206" t="s">
        <v>16</v>
      </c>
      <c r="M206" t="s">
        <v>17</v>
      </c>
    </row>
    <row r="207" spans="1:13" x14ac:dyDescent="0.35">
      <c r="A207" t="s">
        <v>341</v>
      </c>
      <c r="B207">
        <v>369668919</v>
      </c>
      <c r="C207">
        <v>3458366761</v>
      </c>
      <c r="D207" t="s">
        <v>30</v>
      </c>
      <c r="E207" s="7">
        <v>108</v>
      </c>
      <c r="F207" s="7">
        <v>108</v>
      </c>
      <c r="G207" s="7">
        <v>0</v>
      </c>
      <c r="H207" t="s">
        <v>80</v>
      </c>
      <c r="I207" t="s">
        <v>68</v>
      </c>
      <c r="J207" t="s">
        <v>43</v>
      </c>
      <c r="K207" t="s">
        <v>16</v>
      </c>
      <c r="L207" t="s">
        <v>16</v>
      </c>
      <c r="M207" t="s">
        <v>17</v>
      </c>
    </row>
    <row r="208" spans="1:13" x14ac:dyDescent="0.35">
      <c r="A208" t="s">
        <v>342</v>
      </c>
      <c r="B208">
        <v>711858460</v>
      </c>
      <c r="C208">
        <v>2461117828</v>
      </c>
      <c r="D208" t="s">
        <v>30</v>
      </c>
      <c r="E208" s="7">
        <v>330</v>
      </c>
      <c r="F208" s="7">
        <v>330</v>
      </c>
      <c r="G208" s="7">
        <v>0</v>
      </c>
      <c r="H208" t="s">
        <v>14</v>
      </c>
      <c r="I208" t="s">
        <v>110</v>
      </c>
      <c r="J208" t="s">
        <v>22</v>
      </c>
      <c r="K208" t="s">
        <v>27</v>
      </c>
      <c r="L208" t="s">
        <v>16</v>
      </c>
      <c r="M208" t="s">
        <v>126</v>
      </c>
    </row>
    <row r="209" spans="1:13" x14ac:dyDescent="0.35">
      <c r="A209" t="s">
        <v>343</v>
      </c>
      <c r="B209">
        <v>5897418358</v>
      </c>
      <c r="C209">
        <v>2950177319</v>
      </c>
      <c r="D209" t="s">
        <v>24</v>
      </c>
      <c r="E209" s="7">
        <v>336</v>
      </c>
      <c r="F209" s="7">
        <v>336</v>
      </c>
      <c r="G209" s="7">
        <v>0</v>
      </c>
      <c r="H209" t="s">
        <v>38</v>
      </c>
      <c r="I209" t="s">
        <v>103</v>
      </c>
      <c r="J209" t="s">
        <v>22</v>
      </c>
      <c r="K209" t="s">
        <v>16</v>
      </c>
      <c r="L209" t="s">
        <v>16</v>
      </c>
      <c r="M209" t="s">
        <v>17</v>
      </c>
    </row>
    <row r="210" spans="1:13" x14ac:dyDescent="0.35">
      <c r="A210" t="s">
        <v>344</v>
      </c>
      <c r="B210">
        <v>4795470270</v>
      </c>
      <c r="C210">
        <v>8971832176</v>
      </c>
      <c r="D210" t="s">
        <v>30</v>
      </c>
      <c r="E210" s="7">
        <v>496</v>
      </c>
      <c r="F210" s="7">
        <v>0</v>
      </c>
      <c r="G210" s="7">
        <v>496</v>
      </c>
      <c r="H210" t="s">
        <v>14</v>
      </c>
      <c r="I210" t="s">
        <v>215</v>
      </c>
      <c r="J210" t="s">
        <v>43</v>
      </c>
      <c r="K210" t="s">
        <v>27</v>
      </c>
      <c r="L210" t="s">
        <v>0</v>
      </c>
      <c r="M210" t="s">
        <v>51</v>
      </c>
    </row>
    <row r="211" spans="1:13" x14ac:dyDescent="0.35">
      <c r="A211" t="s">
        <v>345</v>
      </c>
      <c r="B211">
        <v>7151448663</v>
      </c>
      <c r="C211">
        <v>7713679245</v>
      </c>
      <c r="D211" t="s">
        <v>13</v>
      </c>
      <c r="E211" s="7">
        <v>418</v>
      </c>
      <c r="F211" s="7">
        <v>0</v>
      </c>
      <c r="G211" s="7">
        <v>418</v>
      </c>
      <c r="H211" t="s">
        <v>56</v>
      </c>
      <c r="I211" t="s">
        <v>112</v>
      </c>
      <c r="J211" t="s">
        <v>26</v>
      </c>
      <c r="K211" t="s">
        <v>27</v>
      </c>
      <c r="L211" t="s">
        <v>0</v>
      </c>
      <c r="M211" t="s">
        <v>51</v>
      </c>
    </row>
    <row r="212" spans="1:13" x14ac:dyDescent="0.35">
      <c r="A212" t="s">
        <v>346</v>
      </c>
      <c r="B212">
        <v>9775867752</v>
      </c>
      <c r="C212">
        <v>8170476216</v>
      </c>
      <c r="D212" t="s">
        <v>67</v>
      </c>
      <c r="E212" s="7">
        <v>242</v>
      </c>
      <c r="F212" s="7">
        <v>242</v>
      </c>
      <c r="G212" s="7">
        <v>0</v>
      </c>
      <c r="H212" t="s">
        <v>20</v>
      </c>
      <c r="I212" t="s">
        <v>96</v>
      </c>
      <c r="J212" t="s">
        <v>22</v>
      </c>
      <c r="K212" t="s">
        <v>0</v>
      </c>
      <c r="L212" t="s">
        <v>16</v>
      </c>
      <c r="M212" t="s">
        <v>58</v>
      </c>
    </row>
    <row r="213" spans="1:13" x14ac:dyDescent="0.35">
      <c r="A213" t="s">
        <v>347</v>
      </c>
      <c r="B213">
        <v>5645859777</v>
      </c>
      <c r="C213">
        <v>1205973975</v>
      </c>
      <c r="D213" t="s">
        <v>67</v>
      </c>
      <c r="E213" s="7">
        <v>276</v>
      </c>
      <c r="F213" s="7">
        <v>221</v>
      </c>
      <c r="G213" s="7">
        <v>55</v>
      </c>
      <c r="H213" t="s">
        <v>56</v>
      </c>
      <c r="I213" t="s">
        <v>125</v>
      </c>
      <c r="J213" t="s">
        <v>26</v>
      </c>
      <c r="K213" t="s">
        <v>0</v>
      </c>
      <c r="L213" t="s">
        <v>894</v>
      </c>
      <c r="M213" t="s">
        <v>33</v>
      </c>
    </row>
    <row r="214" spans="1:13" x14ac:dyDescent="0.35">
      <c r="A214" t="s">
        <v>348</v>
      </c>
      <c r="B214">
        <v>5502957837</v>
      </c>
      <c r="C214">
        <v>6805658855</v>
      </c>
      <c r="D214" t="s">
        <v>19</v>
      </c>
      <c r="E214" s="7">
        <v>315</v>
      </c>
      <c r="F214" s="7">
        <v>0</v>
      </c>
      <c r="G214" s="7">
        <v>315</v>
      </c>
      <c r="H214" t="s">
        <v>38</v>
      </c>
      <c r="I214" t="s">
        <v>100</v>
      </c>
      <c r="J214" t="s">
        <v>22</v>
      </c>
      <c r="K214" t="s">
        <v>27</v>
      </c>
      <c r="L214" t="s">
        <v>0</v>
      </c>
      <c r="M214" t="s">
        <v>33</v>
      </c>
    </row>
    <row r="215" spans="1:13" x14ac:dyDescent="0.35">
      <c r="A215" t="s">
        <v>349</v>
      </c>
      <c r="B215">
        <v>573093068</v>
      </c>
      <c r="C215">
        <v>6807012361</v>
      </c>
      <c r="D215" t="s">
        <v>67</v>
      </c>
      <c r="E215" s="7">
        <v>493</v>
      </c>
      <c r="F215" s="7">
        <v>493</v>
      </c>
      <c r="G215" s="7">
        <v>0</v>
      </c>
      <c r="H215" t="s">
        <v>53</v>
      </c>
      <c r="I215" t="s">
        <v>101</v>
      </c>
      <c r="J215" t="s">
        <v>43</v>
      </c>
      <c r="K215" t="s">
        <v>27</v>
      </c>
      <c r="L215" t="s">
        <v>16</v>
      </c>
      <c r="M215" t="s">
        <v>33</v>
      </c>
    </row>
    <row r="216" spans="1:13" x14ac:dyDescent="0.35">
      <c r="A216" t="s">
        <v>350</v>
      </c>
      <c r="B216">
        <v>9072621104</v>
      </c>
      <c r="C216">
        <v>1729742693</v>
      </c>
      <c r="D216" t="s">
        <v>67</v>
      </c>
      <c r="E216" s="7">
        <v>463</v>
      </c>
      <c r="F216" s="7">
        <v>0</v>
      </c>
      <c r="G216" s="7">
        <v>463</v>
      </c>
      <c r="H216" t="s">
        <v>38</v>
      </c>
      <c r="I216" t="s">
        <v>235</v>
      </c>
      <c r="J216" t="s">
        <v>26</v>
      </c>
      <c r="K216" t="s">
        <v>0</v>
      </c>
      <c r="L216" t="s">
        <v>0</v>
      </c>
      <c r="M216" t="s">
        <v>55</v>
      </c>
    </row>
    <row r="217" spans="1:13" x14ac:dyDescent="0.35">
      <c r="A217" t="s">
        <v>351</v>
      </c>
      <c r="B217">
        <v>5018192446</v>
      </c>
      <c r="C217">
        <v>1376607162</v>
      </c>
      <c r="D217" t="s">
        <v>30</v>
      </c>
      <c r="E217" s="7">
        <v>248</v>
      </c>
      <c r="F217" s="7">
        <v>181</v>
      </c>
      <c r="G217" s="7">
        <v>67</v>
      </c>
      <c r="H217" t="s">
        <v>38</v>
      </c>
      <c r="I217" t="s">
        <v>114</v>
      </c>
      <c r="J217" t="s">
        <v>43</v>
      </c>
      <c r="K217" t="s">
        <v>27</v>
      </c>
      <c r="L217" t="s">
        <v>894</v>
      </c>
      <c r="M217" t="s">
        <v>126</v>
      </c>
    </row>
    <row r="218" spans="1:13" x14ac:dyDescent="0.35">
      <c r="A218" t="s">
        <v>352</v>
      </c>
      <c r="B218">
        <v>3429716470</v>
      </c>
      <c r="C218">
        <v>6436277541</v>
      </c>
      <c r="D218" t="s">
        <v>19</v>
      </c>
      <c r="E218" s="7">
        <v>382</v>
      </c>
      <c r="F218" s="7">
        <v>382</v>
      </c>
      <c r="G218" s="7">
        <v>0</v>
      </c>
      <c r="H218" t="s">
        <v>53</v>
      </c>
      <c r="I218" t="s">
        <v>100</v>
      </c>
      <c r="J218" t="s">
        <v>26</v>
      </c>
      <c r="K218" t="s">
        <v>16</v>
      </c>
      <c r="L218" t="s">
        <v>16</v>
      </c>
      <c r="M218" t="s">
        <v>17</v>
      </c>
    </row>
    <row r="219" spans="1:13" x14ac:dyDescent="0.35">
      <c r="A219" t="s">
        <v>353</v>
      </c>
      <c r="B219">
        <v>2806576174</v>
      </c>
      <c r="C219">
        <v>6537516979</v>
      </c>
      <c r="D219" t="s">
        <v>24</v>
      </c>
      <c r="E219" s="7">
        <v>370</v>
      </c>
      <c r="F219" s="7">
        <v>261</v>
      </c>
      <c r="G219" s="7">
        <v>109</v>
      </c>
      <c r="H219" t="s">
        <v>31</v>
      </c>
      <c r="I219" t="s">
        <v>15</v>
      </c>
      <c r="J219" t="s">
        <v>22</v>
      </c>
      <c r="K219" t="s">
        <v>27</v>
      </c>
      <c r="L219" t="s">
        <v>894</v>
      </c>
      <c r="M219" t="s">
        <v>55</v>
      </c>
    </row>
    <row r="220" spans="1:13" x14ac:dyDescent="0.35">
      <c r="A220" t="s">
        <v>355</v>
      </c>
      <c r="B220">
        <v>7385813323</v>
      </c>
      <c r="C220">
        <v>7534373250</v>
      </c>
      <c r="D220" t="s">
        <v>67</v>
      </c>
      <c r="E220" s="7">
        <v>119</v>
      </c>
      <c r="F220" s="7">
        <v>119</v>
      </c>
      <c r="G220" s="7">
        <v>0</v>
      </c>
      <c r="H220" t="s">
        <v>35</v>
      </c>
      <c r="I220" t="s">
        <v>78</v>
      </c>
      <c r="J220" t="s">
        <v>43</v>
      </c>
      <c r="K220" t="s">
        <v>16</v>
      </c>
      <c r="L220" t="s">
        <v>16</v>
      </c>
      <c r="M220" t="s">
        <v>17</v>
      </c>
    </row>
    <row r="221" spans="1:13" x14ac:dyDescent="0.35">
      <c r="A221" t="s">
        <v>356</v>
      </c>
      <c r="B221">
        <v>5841571573</v>
      </c>
      <c r="C221">
        <v>7939533727</v>
      </c>
      <c r="D221" t="s">
        <v>24</v>
      </c>
      <c r="E221" s="7">
        <v>395</v>
      </c>
      <c r="F221" s="7">
        <v>395</v>
      </c>
      <c r="G221" s="7">
        <v>0</v>
      </c>
      <c r="H221" t="s">
        <v>38</v>
      </c>
      <c r="I221" t="s">
        <v>215</v>
      </c>
      <c r="J221" t="s">
        <v>22</v>
      </c>
      <c r="K221" t="s">
        <v>16</v>
      </c>
      <c r="L221" t="s">
        <v>16</v>
      </c>
      <c r="M221" t="s">
        <v>17</v>
      </c>
    </row>
    <row r="222" spans="1:13" x14ac:dyDescent="0.35">
      <c r="A222" t="s">
        <v>357</v>
      </c>
      <c r="B222">
        <v>4719008136</v>
      </c>
      <c r="C222">
        <v>5870158015</v>
      </c>
      <c r="D222" t="s">
        <v>67</v>
      </c>
      <c r="E222" s="7">
        <v>379</v>
      </c>
      <c r="F222" s="7">
        <v>379</v>
      </c>
      <c r="G222" s="7">
        <v>0</v>
      </c>
      <c r="H222" t="s">
        <v>14</v>
      </c>
      <c r="I222" t="s">
        <v>76</v>
      </c>
      <c r="J222" t="s">
        <v>26</v>
      </c>
      <c r="K222" t="s">
        <v>27</v>
      </c>
      <c r="L222" t="s">
        <v>16</v>
      </c>
      <c r="M222" t="s">
        <v>51</v>
      </c>
    </row>
    <row r="223" spans="1:13" x14ac:dyDescent="0.35">
      <c r="A223" t="s">
        <v>358</v>
      </c>
      <c r="B223">
        <v>7101620088</v>
      </c>
      <c r="C223">
        <v>3150047663</v>
      </c>
      <c r="D223" t="s">
        <v>24</v>
      </c>
      <c r="E223" s="7">
        <v>367</v>
      </c>
      <c r="F223" s="7">
        <v>367</v>
      </c>
      <c r="G223" s="7">
        <v>0</v>
      </c>
      <c r="H223" t="s">
        <v>99</v>
      </c>
      <c r="I223" t="s">
        <v>114</v>
      </c>
      <c r="J223" t="s">
        <v>43</v>
      </c>
      <c r="K223" t="s">
        <v>16</v>
      </c>
      <c r="L223" t="s">
        <v>16</v>
      </c>
      <c r="M223" t="s">
        <v>17</v>
      </c>
    </row>
    <row r="224" spans="1:13" x14ac:dyDescent="0.35">
      <c r="A224" t="s">
        <v>359</v>
      </c>
      <c r="B224">
        <v>4228202914</v>
      </c>
      <c r="C224">
        <v>9942429653</v>
      </c>
      <c r="D224" t="s">
        <v>24</v>
      </c>
      <c r="E224" s="7">
        <v>297</v>
      </c>
      <c r="F224" s="7">
        <v>213</v>
      </c>
      <c r="G224" s="7">
        <v>84</v>
      </c>
      <c r="H224" t="s">
        <v>80</v>
      </c>
      <c r="I224" t="s">
        <v>107</v>
      </c>
      <c r="J224" t="s">
        <v>26</v>
      </c>
      <c r="K224" t="s">
        <v>0</v>
      </c>
      <c r="L224" t="s">
        <v>894</v>
      </c>
      <c r="M224" t="s">
        <v>55</v>
      </c>
    </row>
    <row r="225" spans="1:13" x14ac:dyDescent="0.35">
      <c r="A225" t="s">
        <v>360</v>
      </c>
      <c r="B225">
        <v>338258200</v>
      </c>
      <c r="C225">
        <v>2073344282</v>
      </c>
      <c r="D225" t="s">
        <v>13</v>
      </c>
      <c r="E225" s="7">
        <v>445</v>
      </c>
      <c r="F225" s="7">
        <v>445</v>
      </c>
      <c r="G225" s="7">
        <v>0</v>
      </c>
      <c r="H225" t="s">
        <v>53</v>
      </c>
      <c r="I225" t="s">
        <v>354</v>
      </c>
      <c r="J225" t="s">
        <v>26</v>
      </c>
      <c r="K225" t="s">
        <v>16</v>
      </c>
      <c r="L225" t="s">
        <v>16</v>
      </c>
      <c r="M225" t="s">
        <v>17</v>
      </c>
    </row>
    <row r="226" spans="1:13" x14ac:dyDescent="0.35">
      <c r="A226" t="s">
        <v>361</v>
      </c>
      <c r="B226">
        <v>5076752709</v>
      </c>
      <c r="C226">
        <v>7310074933</v>
      </c>
      <c r="D226" t="s">
        <v>24</v>
      </c>
      <c r="E226" s="7">
        <v>474</v>
      </c>
      <c r="F226" s="7">
        <v>0</v>
      </c>
      <c r="G226" s="7">
        <v>474</v>
      </c>
      <c r="H226" t="s">
        <v>31</v>
      </c>
      <c r="I226" t="s">
        <v>105</v>
      </c>
      <c r="J226" t="s">
        <v>43</v>
      </c>
      <c r="K226" t="s">
        <v>27</v>
      </c>
      <c r="L226" t="s">
        <v>0</v>
      </c>
      <c r="M226" t="s">
        <v>51</v>
      </c>
    </row>
    <row r="227" spans="1:13" x14ac:dyDescent="0.35">
      <c r="A227" t="s">
        <v>362</v>
      </c>
      <c r="B227">
        <v>2247565484</v>
      </c>
      <c r="C227">
        <v>177752633</v>
      </c>
      <c r="D227" t="s">
        <v>24</v>
      </c>
      <c r="E227" s="7">
        <v>143</v>
      </c>
      <c r="F227" s="7">
        <v>143</v>
      </c>
      <c r="G227" s="7">
        <v>0</v>
      </c>
      <c r="H227" t="s">
        <v>53</v>
      </c>
      <c r="I227" t="s">
        <v>201</v>
      </c>
      <c r="J227" t="s">
        <v>22</v>
      </c>
      <c r="K227" t="s">
        <v>16</v>
      </c>
      <c r="L227" t="s">
        <v>16</v>
      </c>
      <c r="M227" t="s">
        <v>17</v>
      </c>
    </row>
    <row r="228" spans="1:13" x14ac:dyDescent="0.35">
      <c r="A228" t="s">
        <v>363</v>
      </c>
      <c r="B228">
        <v>6662024316</v>
      </c>
      <c r="C228">
        <v>3995084617</v>
      </c>
      <c r="D228" t="s">
        <v>24</v>
      </c>
      <c r="E228" s="7">
        <v>445</v>
      </c>
      <c r="F228" s="7">
        <v>326</v>
      </c>
      <c r="G228" s="7">
        <v>119</v>
      </c>
      <c r="H228" t="s">
        <v>80</v>
      </c>
      <c r="I228" t="s">
        <v>256</v>
      </c>
      <c r="J228" t="s">
        <v>26</v>
      </c>
      <c r="K228" t="s">
        <v>0</v>
      </c>
      <c r="L228" t="s">
        <v>894</v>
      </c>
      <c r="M228" t="s">
        <v>33</v>
      </c>
    </row>
    <row r="229" spans="1:13" x14ac:dyDescent="0.35">
      <c r="A229" t="s">
        <v>364</v>
      </c>
      <c r="B229">
        <v>7517757181</v>
      </c>
      <c r="C229">
        <v>801630084</v>
      </c>
      <c r="D229" t="s">
        <v>19</v>
      </c>
      <c r="E229" s="7">
        <v>291</v>
      </c>
      <c r="F229" s="7">
        <v>0</v>
      </c>
      <c r="G229" s="7">
        <v>291</v>
      </c>
      <c r="H229" t="s">
        <v>14</v>
      </c>
      <c r="I229" t="s">
        <v>109</v>
      </c>
      <c r="J229" t="s">
        <v>26</v>
      </c>
      <c r="K229" t="s">
        <v>0</v>
      </c>
      <c r="L229" t="s">
        <v>0</v>
      </c>
      <c r="M229" t="s">
        <v>44</v>
      </c>
    </row>
    <row r="230" spans="1:13" x14ac:dyDescent="0.35">
      <c r="A230" t="s">
        <v>365</v>
      </c>
      <c r="B230">
        <v>3163924465</v>
      </c>
      <c r="C230">
        <v>8706697959</v>
      </c>
      <c r="D230" t="s">
        <v>30</v>
      </c>
      <c r="E230" s="7">
        <v>359</v>
      </c>
      <c r="F230" s="7">
        <v>359</v>
      </c>
      <c r="G230" s="7">
        <v>0</v>
      </c>
      <c r="H230" t="s">
        <v>56</v>
      </c>
      <c r="I230" t="s">
        <v>50</v>
      </c>
      <c r="J230" t="s">
        <v>43</v>
      </c>
      <c r="K230" t="s">
        <v>16</v>
      </c>
      <c r="L230" t="s">
        <v>16</v>
      </c>
      <c r="M230" t="s">
        <v>17</v>
      </c>
    </row>
    <row r="231" spans="1:13" x14ac:dyDescent="0.35">
      <c r="A231" t="s">
        <v>366</v>
      </c>
      <c r="B231">
        <v>5202330429</v>
      </c>
      <c r="C231">
        <v>9305137373</v>
      </c>
      <c r="D231" t="s">
        <v>19</v>
      </c>
      <c r="E231" s="7">
        <v>246</v>
      </c>
      <c r="F231" s="7">
        <v>0</v>
      </c>
      <c r="G231" s="7">
        <v>246</v>
      </c>
      <c r="H231" t="s">
        <v>56</v>
      </c>
      <c r="I231" t="s">
        <v>183</v>
      </c>
      <c r="J231" t="s">
        <v>26</v>
      </c>
      <c r="K231" t="s">
        <v>0</v>
      </c>
      <c r="L231" t="s">
        <v>0</v>
      </c>
      <c r="M231" t="s">
        <v>51</v>
      </c>
    </row>
    <row r="232" spans="1:13" x14ac:dyDescent="0.35">
      <c r="A232" t="s">
        <v>367</v>
      </c>
      <c r="B232">
        <v>1763031570</v>
      </c>
      <c r="C232">
        <v>5386974299</v>
      </c>
      <c r="D232" t="s">
        <v>30</v>
      </c>
      <c r="E232" s="7">
        <v>441</v>
      </c>
      <c r="F232" s="7">
        <v>441</v>
      </c>
      <c r="G232" s="7">
        <v>0</v>
      </c>
      <c r="H232" t="s">
        <v>70</v>
      </c>
      <c r="I232" t="s">
        <v>314</v>
      </c>
      <c r="J232" t="s">
        <v>22</v>
      </c>
      <c r="K232" t="s">
        <v>27</v>
      </c>
      <c r="L232" t="s">
        <v>16</v>
      </c>
      <c r="M232" t="s">
        <v>51</v>
      </c>
    </row>
    <row r="233" spans="1:13" x14ac:dyDescent="0.35">
      <c r="A233" t="s">
        <v>368</v>
      </c>
      <c r="B233">
        <v>1248011421</v>
      </c>
      <c r="C233">
        <v>102660729</v>
      </c>
      <c r="D233" t="s">
        <v>24</v>
      </c>
      <c r="E233" s="7">
        <v>166</v>
      </c>
      <c r="F233" s="7">
        <v>166</v>
      </c>
      <c r="G233" s="7">
        <v>0</v>
      </c>
      <c r="H233" t="s">
        <v>56</v>
      </c>
      <c r="I233" t="s">
        <v>122</v>
      </c>
      <c r="J233" t="s">
        <v>43</v>
      </c>
      <c r="K233" t="s">
        <v>0</v>
      </c>
      <c r="L233" t="s">
        <v>16</v>
      </c>
      <c r="M233" t="s">
        <v>55</v>
      </c>
    </row>
    <row r="234" spans="1:13" x14ac:dyDescent="0.35">
      <c r="A234" t="s">
        <v>369</v>
      </c>
      <c r="B234">
        <v>2448387310</v>
      </c>
      <c r="C234">
        <v>3213129998</v>
      </c>
      <c r="D234" t="s">
        <v>13</v>
      </c>
      <c r="E234" s="7">
        <v>483</v>
      </c>
      <c r="F234" s="7">
        <v>483</v>
      </c>
      <c r="G234" s="7">
        <v>0</v>
      </c>
      <c r="H234" t="s">
        <v>35</v>
      </c>
      <c r="I234" t="s">
        <v>72</v>
      </c>
      <c r="J234" t="s">
        <v>22</v>
      </c>
      <c r="K234" t="s">
        <v>0</v>
      </c>
      <c r="L234" t="s">
        <v>16</v>
      </c>
      <c r="M234" t="s">
        <v>28</v>
      </c>
    </row>
    <row r="235" spans="1:13" x14ac:dyDescent="0.35">
      <c r="A235" t="s">
        <v>370</v>
      </c>
      <c r="B235">
        <v>9877748959</v>
      </c>
      <c r="C235">
        <v>9935998291</v>
      </c>
      <c r="D235" t="s">
        <v>67</v>
      </c>
      <c r="E235" s="7">
        <v>206</v>
      </c>
      <c r="F235" s="7">
        <v>206</v>
      </c>
      <c r="G235" s="7">
        <v>0</v>
      </c>
      <c r="H235" t="s">
        <v>53</v>
      </c>
      <c r="I235" t="s">
        <v>86</v>
      </c>
      <c r="J235" t="s">
        <v>43</v>
      </c>
      <c r="K235" t="s">
        <v>27</v>
      </c>
      <c r="L235" t="s">
        <v>16</v>
      </c>
      <c r="M235" t="s">
        <v>58</v>
      </c>
    </row>
    <row r="236" spans="1:13" x14ac:dyDescent="0.35">
      <c r="A236" t="s">
        <v>371</v>
      </c>
      <c r="B236">
        <v>8320900159</v>
      </c>
      <c r="C236">
        <v>9179542709</v>
      </c>
      <c r="D236" t="s">
        <v>24</v>
      </c>
      <c r="E236" s="7">
        <v>419</v>
      </c>
      <c r="F236" s="7">
        <v>419</v>
      </c>
      <c r="G236" s="7">
        <v>0</v>
      </c>
      <c r="H236" t="s">
        <v>20</v>
      </c>
      <c r="I236" t="s">
        <v>268</v>
      </c>
      <c r="J236" t="s">
        <v>43</v>
      </c>
      <c r="K236" t="s">
        <v>16</v>
      </c>
      <c r="L236" t="s">
        <v>16</v>
      </c>
      <c r="M236" t="s">
        <v>17</v>
      </c>
    </row>
    <row r="237" spans="1:13" x14ac:dyDescent="0.35">
      <c r="A237" t="s">
        <v>372</v>
      </c>
      <c r="B237">
        <v>4359325467</v>
      </c>
      <c r="C237">
        <v>9127898694</v>
      </c>
      <c r="D237" t="s">
        <v>13</v>
      </c>
      <c r="E237" s="7">
        <v>214</v>
      </c>
      <c r="F237" s="7">
        <v>0</v>
      </c>
      <c r="G237" s="7">
        <v>214</v>
      </c>
      <c r="H237" t="s">
        <v>53</v>
      </c>
      <c r="I237" t="s">
        <v>231</v>
      </c>
      <c r="J237" t="s">
        <v>43</v>
      </c>
      <c r="K237" t="s">
        <v>27</v>
      </c>
      <c r="L237" t="s">
        <v>0</v>
      </c>
      <c r="M237" t="s">
        <v>44</v>
      </c>
    </row>
    <row r="238" spans="1:13" x14ac:dyDescent="0.35">
      <c r="A238" t="s">
        <v>373</v>
      </c>
      <c r="B238">
        <v>9233010989</v>
      </c>
      <c r="C238">
        <v>3902268195</v>
      </c>
      <c r="D238" t="s">
        <v>24</v>
      </c>
      <c r="E238" s="7">
        <v>331</v>
      </c>
      <c r="F238" s="7">
        <v>331</v>
      </c>
      <c r="G238" s="7">
        <v>0</v>
      </c>
      <c r="H238" t="s">
        <v>53</v>
      </c>
      <c r="I238" t="s">
        <v>251</v>
      </c>
      <c r="J238" t="s">
        <v>43</v>
      </c>
      <c r="K238" t="s">
        <v>16</v>
      </c>
      <c r="L238" t="s">
        <v>16</v>
      </c>
      <c r="M238" t="s">
        <v>17</v>
      </c>
    </row>
    <row r="239" spans="1:13" x14ac:dyDescent="0.35">
      <c r="A239" t="s">
        <v>374</v>
      </c>
      <c r="B239">
        <v>85050275</v>
      </c>
      <c r="C239">
        <v>2068240474</v>
      </c>
      <c r="D239" t="s">
        <v>19</v>
      </c>
      <c r="E239" s="7">
        <v>414</v>
      </c>
      <c r="F239" s="7">
        <v>414</v>
      </c>
      <c r="G239" s="7">
        <v>0</v>
      </c>
      <c r="H239" t="s">
        <v>80</v>
      </c>
      <c r="I239" t="s">
        <v>134</v>
      </c>
      <c r="J239" t="s">
        <v>22</v>
      </c>
      <c r="K239" t="s">
        <v>16</v>
      </c>
      <c r="L239" t="s">
        <v>16</v>
      </c>
      <c r="M239" t="s">
        <v>17</v>
      </c>
    </row>
    <row r="240" spans="1:13" x14ac:dyDescent="0.35">
      <c r="A240" t="s">
        <v>375</v>
      </c>
      <c r="B240">
        <v>2431179878</v>
      </c>
      <c r="C240">
        <v>6019180780</v>
      </c>
      <c r="D240" t="s">
        <v>24</v>
      </c>
      <c r="E240" s="7">
        <v>123</v>
      </c>
      <c r="F240" s="7">
        <v>70</v>
      </c>
      <c r="G240" s="7">
        <v>53</v>
      </c>
      <c r="H240" t="s">
        <v>35</v>
      </c>
      <c r="I240" t="s">
        <v>88</v>
      </c>
      <c r="J240" t="s">
        <v>43</v>
      </c>
      <c r="K240" t="s">
        <v>0</v>
      </c>
      <c r="L240" t="s">
        <v>894</v>
      </c>
      <c r="M240" t="s">
        <v>44</v>
      </c>
    </row>
    <row r="241" spans="1:13" x14ac:dyDescent="0.35">
      <c r="A241" t="s">
        <v>376</v>
      </c>
      <c r="B241">
        <v>572724767</v>
      </c>
      <c r="C241">
        <v>4513260071</v>
      </c>
      <c r="D241" t="s">
        <v>24</v>
      </c>
      <c r="E241" s="7">
        <v>348</v>
      </c>
      <c r="F241" s="7">
        <v>348</v>
      </c>
      <c r="G241" s="7">
        <v>0</v>
      </c>
      <c r="H241" t="s">
        <v>20</v>
      </c>
      <c r="I241" t="s">
        <v>25</v>
      </c>
      <c r="J241" t="s">
        <v>22</v>
      </c>
      <c r="K241" t="s">
        <v>0</v>
      </c>
      <c r="L241" t="s">
        <v>16</v>
      </c>
      <c r="M241" t="s">
        <v>51</v>
      </c>
    </row>
    <row r="242" spans="1:13" x14ac:dyDescent="0.35">
      <c r="A242" t="s">
        <v>377</v>
      </c>
      <c r="B242">
        <v>8974653448</v>
      </c>
      <c r="C242">
        <v>9745060647</v>
      </c>
      <c r="D242" t="s">
        <v>13</v>
      </c>
      <c r="E242" s="7">
        <v>412</v>
      </c>
      <c r="F242" s="7">
        <v>412</v>
      </c>
      <c r="G242" s="7">
        <v>0</v>
      </c>
      <c r="H242" t="s">
        <v>99</v>
      </c>
      <c r="I242" t="s">
        <v>378</v>
      </c>
      <c r="J242" t="s">
        <v>22</v>
      </c>
      <c r="K242" t="s">
        <v>16</v>
      </c>
      <c r="L242" t="s">
        <v>16</v>
      </c>
      <c r="M242" t="s">
        <v>17</v>
      </c>
    </row>
    <row r="243" spans="1:13" x14ac:dyDescent="0.35">
      <c r="A243" t="s">
        <v>379</v>
      </c>
      <c r="B243">
        <v>6733145733</v>
      </c>
      <c r="C243">
        <v>8958657001</v>
      </c>
      <c r="D243" t="s">
        <v>30</v>
      </c>
      <c r="E243" s="7">
        <v>320</v>
      </c>
      <c r="F243" s="7">
        <v>320</v>
      </c>
      <c r="G243" s="7">
        <v>0</v>
      </c>
      <c r="H243" t="s">
        <v>20</v>
      </c>
      <c r="I243" t="s">
        <v>109</v>
      </c>
      <c r="J243" t="s">
        <v>43</v>
      </c>
      <c r="K243" t="s">
        <v>16</v>
      </c>
      <c r="L243" t="s">
        <v>16</v>
      </c>
      <c r="M243" t="s">
        <v>17</v>
      </c>
    </row>
    <row r="244" spans="1:13" x14ac:dyDescent="0.35">
      <c r="A244" t="s">
        <v>380</v>
      </c>
      <c r="B244">
        <v>9514225566</v>
      </c>
      <c r="C244">
        <v>7417850570</v>
      </c>
      <c r="D244" t="s">
        <v>24</v>
      </c>
      <c r="E244" s="7">
        <v>472</v>
      </c>
      <c r="F244" s="7">
        <v>472</v>
      </c>
      <c r="G244" s="7">
        <v>0</v>
      </c>
      <c r="H244" t="s">
        <v>80</v>
      </c>
      <c r="I244" t="s">
        <v>97</v>
      </c>
      <c r="J244" t="s">
        <v>43</v>
      </c>
      <c r="K244" t="s">
        <v>16</v>
      </c>
      <c r="L244" t="s">
        <v>16</v>
      </c>
      <c r="M244" t="s">
        <v>17</v>
      </c>
    </row>
    <row r="245" spans="1:13" x14ac:dyDescent="0.35">
      <c r="A245" t="s">
        <v>381</v>
      </c>
      <c r="B245">
        <v>6282616529</v>
      </c>
      <c r="C245">
        <v>2726589636</v>
      </c>
      <c r="D245" t="s">
        <v>67</v>
      </c>
      <c r="E245" s="7">
        <v>208</v>
      </c>
      <c r="F245" s="7">
        <v>167</v>
      </c>
      <c r="G245" s="7">
        <v>41</v>
      </c>
      <c r="H245" t="s">
        <v>99</v>
      </c>
      <c r="I245" t="s">
        <v>252</v>
      </c>
      <c r="J245" t="s">
        <v>26</v>
      </c>
      <c r="K245" t="s">
        <v>27</v>
      </c>
      <c r="L245" t="s">
        <v>894</v>
      </c>
      <c r="M245" t="s">
        <v>40</v>
      </c>
    </row>
    <row r="246" spans="1:13" x14ac:dyDescent="0.35">
      <c r="A246" t="s">
        <v>382</v>
      </c>
      <c r="B246">
        <v>624597876</v>
      </c>
      <c r="C246">
        <v>7975721708</v>
      </c>
      <c r="D246" t="s">
        <v>30</v>
      </c>
      <c r="E246" s="7">
        <v>431</v>
      </c>
      <c r="F246" s="7">
        <v>431</v>
      </c>
      <c r="G246" s="7">
        <v>0</v>
      </c>
      <c r="H246" t="s">
        <v>38</v>
      </c>
      <c r="I246" t="s">
        <v>94</v>
      </c>
      <c r="J246" t="s">
        <v>22</v>
      </c>
      <c r="K246" t="s">
        <v>27</v>
      </c>
      <c r="L246" t="s">
        <v>16</v>
      </c>
      <c r="M246" t="s">
        <v>40</v>
      </c>
    </row>
    <row r="247" spans="1:13" x14ac:dyDescent="0.35">
      <c r="A247" t="s">
        <v>383</v>
      </c>
      <c r="B247">
        <v>4317187883</v>
      </c>
      <c r="C247">
        <v>8605154861</v>
      </c>
      <c r="D247" t="s">
        <v>19</v>
      </c>
      <c r="E247" s="7">
        <v>331</v>
      </c>
      <c r="F247" s="7">
        <v>0</v>
      </c>
      <c r="G247" s="7">
        <v>331</v>
      </c>
      <c r="H247" t="s">
        <v>99</v>
      </c>
      <c r="I247" t="s">
        <v>71</v>
      </c>
      <c r="J247" t="s">
        <v>26</v>
      </c>
      <c r="K247" t="s">
        <v>0</v>
      </c>
      <c r="L247" t="s">
        <v>0</v>
      </c>
      <c r="M247" t="s">
        <v>55</v>
      </c>
    </row>
    <row r="248" spans="1:13" x14ac:dyDescent="0.35">
      <c r="A248" t="s">
        <v>384</v>
      </c>
      <c r="B248">
        <v>6813884956</v>
      </c>
      <c r="C248">
        <v>1223676820</v>
      </c>
      <c r="D248" t="s">
        <v>24</v>
      </c>
      <c r="E248" s="7">
        <v>485</v>
      </c>
      <c r="F248" s="7">
        <v>389</v>
      </c>
      <c r="G248" s="7">
        <v>96</v>
      </c>
      <c r="H248" t="s">
        <v>38</v>
      </c>
      <c r="I248" t="s">
        <v>116</v>
      </c>
      <c r="J248" t="s">
        <v>22</v>
      </c>
      <c r="K248" t="s">
        <v>27</v>
      </c>
      <c r="L248" t="s">
        <v>894</v>
      </c>
      <c r="M248" t="s">
        <v>33</v>
      </c>
    </row>
    <row r="249" spans="1:13" x14ac:dyDescent="0.35">
      <c r="A249" t="s">
        <v>385</v>
      </c>
      <c r="B249">
        <v>5500130250</v>
      </c>
      <c r="C249">
        <v>8682114584</v>
      </c>
      <c r="D249" t="s">
        <v>30</v>
      </c>
      <c r="E249" s="7">
        <v>483</v>
      </c>
      <c r="F249" s="7">
        <v>0</v>
      </c>
      <c r="G249" s="7">
        <v>483</v>
      </c>
      <c r="H249" t="s">
        <v>53</v>
      </c>
      <c r="I249" t="s">
        <v>94</v>
      </c>
      <c r="J249" t="s">
        <v>43</v>
      </c>
      <c r="K249" t="s">
        <v>0</v>
      </c>
      <c r="L249" t="s">
        <v>0</v>
      </c>
      <c r="M249" t="s">
        <v>126</v>
      </c>
    </row>
    <row r="250" spans="1:13" x14ac:dyDescent="0.35">
      <c r="A250" t="s">
        <v>386</v>
      </c>
      <c r="B250">
        <v>6766860390</v>
      </c>
      <c r="C250">
        <v>3955425817</v>
      </c>
      <c r="D250" t="s">
        <v>13</v>
      </c>
      <c r="E250" s="7">
        <v>165</v>
      </c>
      <c r="F250" s="7">
        <v>165</v>
      </c>
      <c r="G250" s="7">
        <v>0</v>
      </c>
      <c r="H250" t="s">
        <v>35</v>
      </c>
      <c r="I250" t="s">
        <v>317</v>
      </c>
      <c r="J250" t="s">
        <v>26</v>
      </c>
      <c r="K250" t="s">
        <v>0</v>
      </c>
      <c r="L250" t="s">
        <v>16</v>
      </c>
      <c r="M250" t="s">
        <v>40</v>
      </c>
    </row>
    <row r="251" spans="1:13" x14ac:dyDescent="0.35">
      <c r="A251" t="s">
        <v>387</v>
      </c>
      <c r="B251">
        <v>3392888571</v>
      </c>
      <c r="C251">
        <v>1561872991</v>
      </c>
      <c r="D251" t="s">
        <v>30</v>
      </c>
      <c r="E251" s="7">
        <v>140</v>
      </c>
      <c r="F251" s="7">
        <v>140</v>
      </c>
      <c r="G251" s="7">
        <v>0</v>
      </c>
      <c r="H251" t="s">
        <v>99</v>
      </c>
      <c r="I251" t="s">
        <v>107</v>
      </c>
      <c r="J251" t="s">
        <v>26</v>
      </c>
      <c r="K251" t="s">
        <v>16</v>
      </c>
      <c r="L251" t="s">
        <v>16</v>
      </c>
      <c r="M251" t="s">
        <v>17</v>
      </c>
    </row>
    <row r="252" spans="1:13" x14ac:dyDescent="0.35">
      <c r="A252" t="s">
        <v>388</v>
      </c>
      <c r="B252">
        <v>5416156337</v>
      </c>
      <c r="C252">
        <v>3838996686</v>
      </c>
      <c r="D252" t="s">
        <v>24</v>
      </c>
      <c r="E252" s="7">
        <v>432</v>
      </c>
      <c r="F252" s="7">
        <v>432</v>
      </c>
      <c r="G252" s="7">
        <v>0</v>
      </c>
      <c r="H252" t="s">
        <v>35</v>
      </c>
      <c r="I252" t="s">
        <v>76</v>
      </c>
      <c r="J252" t="s">
        <v>26</v>
      </c>
      <c r="K252" t="s">
        <v>16</v>
      </c>
      <c r="L252" t="s">
        <v>16</v>
      </c>
      <c r="M252" t="s">
        <v>17</v>
      </c>
    </row>
    <row r="253" spans="1:13" x14ac:dyDescent="0.35">
      <c r="A253" t="s">
        <v>389</v>
      </c>
      <c r="B253">
        <v>1924041130</v>
      </c>
      <c r="C253">
        <v>7585731683</v>
      </c>
      <c r="D253" t="s">
        <v>13</v>
      </c>
      <c r="E253" s="7">
        <v>275</v>
      </c>
      <c r="F253" s="7">
        <v>275</v>
      </c>
      <c r="G253" s="7">
        <v>0</v>
      </c>
      <c r="H253" t="s">
        <v>70</v>
      </c>
      <c r="I253" t="s">
        <v>110</v>
      </c>
      <c r="J253" t="s">
        <v>22</v>
      </c>
      <c r="K253" t="s">
        <v>16</v>
      </c>
      <c r="L253" t="s">
        <v>16</v>
      </c>
      <c r="M253" t="s">
        <v>17</v>
      </c>
    </row>
    <row r="254" spans="1:13" x14ac:dyDescent="0.35">
      <c r="A254" t="s">
        <v>390</v>
      </c>
      <c r="B254">
        <v>9161236353</v>
      </c>
      <c r="C254">
        <v>5969232788</v>
      </c>
      <c r="D254" t="s">
        <v>67</v>
      </c>
      <c r="E254" s="7">
        <v>114</v>
      </c>
      <c r="F254" s="7">
        <v>0</v>
      </c>
      <c r="G254" s="7">
        <v>114</v>
      </c>
      <c r="H254" t="s">
        <v>53</v>
      </c>
      <c r="I254" t="s">
        <v>185</v>
      </c>
      <c r="J254" t="s">
        <v>26</v>
      </c>
      <c r="K254" t="s">
        <v>27</v>
      </c>
      <c r="L254" t="s">
        <v>0</v>
      </c>
      <c r="M254" t="s">
        <v>126</v>
      </c>
    </row>
    <row r="255" spans="1:13" x14ac:dyDescent="0.35">
      <c r="A255" t="s">
        <v>391</v>
      </c>
      <c r="B255">
        <v>7892313469</v>
      </c>
      <c r="C255">
        <v>6866415132</v>
      </c>
      <c r="D255" t="s">
        <v>19</v>
      </c>
      <c r="E255" s="7">
        <v>360</v>
      </c>
      <c r="F255" s="7">
        <v>0</v>
      </c>
      <c r="G255" s="7">
        <v>360</v>
      </c>
      <c r="H255" t="s">
        <v>80</v>
      </c>
      <c r="I255" t="s">
        <v>259</v>
      </c>
      <c r="J255" t="s">
        <v>22</v>
      </c>
      <c r="K255" t="s">
        <v>0</v>
      </c>
      <c r="L255" t="s">
        <v>0</v>
      </c>
      <c r="M255" t="s">
        <v>33</v>
      </c>
    </row>
    <row r="256" spans="1:13" x14ac:dyDescent="0.35">
      <c r="A256" t="s">
        <v>392</v>
      </c>
      <c r="B256">
        <v>7252880086</v>
      </c>
      <c r="C256">
        <v>4090505090</v>
      </c>
      <c r="D256" t="s">
        <v>24</v>
      </c>
      <c r="E256" s="7">
        <v>190</v>
      </c>
      <c r="F256" s="7">
        <v>164</v>
      </c>
      <c r="G256" s="7">
        <v>26</v>
      </c>
      <c r="H256" t="s">
        <v>20</v>
      </c>
      <c r="I256" t="s">
        <v>125</v>
      </c>
      <c r="J256" t="s">
        <v>26</v>
      </c>
      <c r="K256" t="s">
        <v>0</v>
      </c>
      <c r="L256" t="s">
        <v>894</v>
      </c>
      <c r="M256" t="s">
        <v>51</v>
      </c>
    </row>
    <row r="257" spans="1:13" x14ac:dyDescent="0.35">
      <c r="A257" t="s">
        <v>393</v>
      </c>
      <c r="B257">
        <v>2374833283</v>
      </c>
      <c r="C257">
        <v>33738494</v>
      </c>
      <c r="D257" t="s">
        <v>19</v>
      </c>
      <c r="E257" s="7">
        <v>170</v>
      </c>
      <c r="F257" s="7">
        <v>112</v>
      </c>
      <c r="G257" s="7">
        <v>58</v>
      </c>
      <c r="H257" t="s">
        <v>31</v>
      </c>
      <c r="I257" t="s">
        <v>81</v>
      </c>
      <c r="J257" t="s">
        <v>22</v>
      </c>
      <c r="K257" t="s">
        <v>0</v>
      </c>
      <c r="L257" t="s">
        <v>894</v>
      </c>
      <c r="M257" t="s">
        <v>51</v>
      </c>
    </row>
    <row r="258" spans="1:13" x14ac:dyDescent="0.35">
      <c r="A258" t="s">
        <v>394</v>
      </c>
      <c r="B258">
        <v>8061890872</v>
      </c>
      <c r="C258">
        <v>6614375516</v>
      </c>
      <c r="D258" t="s">
        <v>19</v>
      </c>
      <c r="E258" s="7">
        <v>307</v>
      </c>
      <c r="F258" s="7">
        <v>242</v>
      </c>
      <c r="G258" s="7">
        <v>65</v>
      </c>
      <c r="H258" t="s">
        <v>35</v>
      </c>
      <c r="I258" t="s">
        <v>137</v>
      </c>
      <c r="J258" t="s">
        <v>26</v>
      </c>
      <c r="K258" t="s">
        <v>27</v>
      </c>
      <c r="L258" t="s">
        <v>894</v>
      </c>
      <c r="M258" t="s">
        <v>51</v>
      </c>
    </row>
    <row r="259" spans="1:13" x14ac:dyDescent="0.35">
      <c r="A259" t="s">
        <v>395</v>
      </c>
      <c r="B259">
        <v>8423780474</v>
      </c>
      <c r="C259">
        <v>6007440157</v>
      </c>
      <c r="D259" t="s">
        <v>30</v>
      </c>
      <c r="E259" s="7">
        <v>393</v>
      </c>
      <c r="F259" s="7">
        <v>393</v>
      </c>
      <c r="G259" s="7">
        <v>0</v>
      </c>
      <c r="H259" t="s">
        <v>80</v>
      </c>
      <c r="I259" t="s">
        <v>97</v>
      </c>
      <c r="J259" t="s">
        <v>22</v>
      </c>
      <c r="K259" t="s">
        <v>16</v>
      </c>
      <c r="L259" t="s">
        <v>16</v>
      </c>
      <c r="M259" t="s">
        <v>17</v>
      </c>
    </row>
    <row r="260" spans="1:13" x14ac:dyDescent="0.35">
      <c r="A260" t="s">
        <v>396</v>
      </c>
      <c r="B260">
        <v>3489681201</v>
      </c>
      <c r="C260">
        <v>9521876139</v>
      </c>
      <c r="D260" t="s">
        <v>13</v>
      </c>
      <c r="E260" s="7">
        <v>134</v>
      </c>
      <c r="F260" s="7">
        <v>134</v>
      </c>
      <c r="G260" s="7">
        <v>0</v>
      </c>
      <c r="H260" t="s">
        <v>38</v>
      </c>
      <c r="I260" t="s">
        <v>21</v>
      </c>
      <c r="J260" t="s">
        <v>22</v>
      </c>
      <c r="K260" t="s">
        <v>16</v>
      </c>
      <c r="L260" t="s">
        <v>16</v>
      </c>
      <c r="M260" t="s">
        <v>17</v>
      </c>
    </row>
    <row r="261" spans="1:13" x14ac:dyDescent="0.35">
      <c r="A261" t="s">
        <v>397</v>
      </c>
      <c r="B261">
        <v>6592069398</v>
      </c>
      <c r="C261">
        <v>990756856</v>
      </c>
      <c r="D261" t="s">
        <v>13</v>
      </c>
      <c r="E261" s="7">
        <v>168</v>
      </c>
      <c r="F261" s="7">
        <v>168</v>
      </c>
      <c r="G261" s="7">
        <v>0</v>
      </c>
      <c r="H261" t="s">
        <v>35</v>
      </c>
      <c r="I261" t="s">
        <v>256</v>
      </c>
      <c r="J261" t="s">
        <v>43</v>
      </c>
      <c r="K261" t="s">
        <v>16</v>
      </c>
      <c r="L261" t="s">
        <v>16</v>
      </c>
      <c r="M261" t="s">
        <v>17</v>
      </c>
    </row>
    <row r="262" spans="1:13" x14ac:dyDescent="0.35">
      <c r="A262" t="s">
        <v>398</v>
      </c>
      <c r="B262">
        <v>2738249899</v>
      </c>
      <c r="C262">
        <v>4476871677</v>
      </c>
      <c r="D262" t="s">
        <v>13</v>
      </c>
      <c r="E262" s="7">
        <v>208</v>
      </c>
      <c r="F262" s="7">
        <v>208</v>
      </c>
      <c r="G262" s="7">
        <v>0</v>
      </c>
      <c r="H262" t="s">
        <v>31</v>
      </c>
      <c r="I262" t="s">
        <v>76</v>
      </c>
      <c r="J262" t="s">
        <v>22</v>
      </c>
      <c r="K262" t="s">
        <v>0</v>
      </c>
      <c r="L262" t="s">
        <v>16</v>
      </c>
      <c r="M262" t="s">
        <v>40</v>
      </c>
    </row>
    <row r="263" spans="1:13" x14ac:dyDescent="0.35">
      <c r="A263" t="s">
        <v>399</v>
      </c>
      <c r="B263">
        <v>6759559384</v>
      </c>
      <c r="C263">
        <v>7560566891</v>
      </c>
      <c r="D263" t="s">
        <v>19</v>
      </c>
      <c r="E263" s="7">
        <v>483</v>
      </c>
      <c r="F263" s="7">
        <v>483</v>
      </c>
      <c r="G263" s="7">
        <v>0</v>
      </c>
      <c r="H263" t="s">
        <v>35</v>
      </c>
      <c r="I263" t="s">
        <v>46</v>
      </c>
      <c r="J263" t="s">
        <v>43</v>
      </c>
      <c r="K263" t="s">
        <v>0</v>
      </c>
      <c r="L263" t="s">
        <v>16</v>
      </c>
      <c r="M263" t="s">
        <v>58</v>
      </c>
    </row>
    <row r="264" spans="1:13" x14ac:dyDescent="0.35">
      <c r="A264" t="s">
        <v>400</v>
      </c>
      <c r="B264">
        <v>6706821299</v>
      </c>
      <c r="C264">
        <v>1125988637</v>
      </c>
      <c r="D264" t="s">
        <v>13</v>
      </c>
      <c r="E264" s="7">
        <v>159</v>
      </c>
      <c r="F264" s="7">
        <v>159</v>
      </c>
      <c r="G264" s="7">
        <v>0</v>
      </c>
      <c r="H264" t="s">
        <v>14</v>
      </c>
      <c r="I264" t="s">
        <v>144</v>
      </c>
      <c r="J264" t="s">
        <v>26</v>
      </c>
      <c r="K264" t="s">
        <v>0</v>
      </c>
      <c r="L264" t="s">
        <v>16</v>
      </c>
      <c r="M264" t="s">
        <v>28</v>
      </c>
    </row>
    <row r="265" spans="1:13" x14ac:dyDescent="0.35">
      <c r="A265" t="s">
        <v>401</v>
      </c>
      <c r="B265">
        <v>5729809420</v>
      </c>
      <c r="C265">
        <v>124459893</v>
      </c>
      <c r="D265" t="s">
        <v>13</v>
      </c>
      <c r="E265" s="7">
        <v>159</v>
      </c>
      <c r="F265" s="7">
        <v>99</v>
      </c>
      <c r="G265" s="7">
        <v>60</v>
      </c>
      <c r="H265" t="s">
        <v>35</v>
      </c>
      <c r="I265" t="s">
        <v>201</v>
      </c>
      <c r="J265" t="s">
        <v>26</v>
      </c>
      <c r="K265" t="s">
        <v>27</v>
      </c>
      <c r="L265" t="s">
        <v>894</v>
      </c>
      <c r="M265" t="s">
        <v>51</v>
      </c>
    </row>
    <row r="266" spans="1:13" x14ac:dyDescent="0.35">
      <c r="A266" t="s">
        <v>402</v>
      </c>
      <c r="B266">
        <v>8426605489</v>
      </c>
      <c r="C266">
        <v>1775175627</v>
      </c>
      <c r="D266" t="s">
        <v>67</v>
      </c>
      <c r="E266" s="7">
        <v>460</v>
      </c>
      <c r="F266" s="7">
        <v>460</v>
      </c>
      <c r="G266" s="7">
        <v>0</v>
      </c>
      <c r="H266" t="s">
        <v>14</v>
      </c>
      <c r="I266" t="s">
        <v>100</v>
      </c>
      <c r="J266" t="s">
        <v>26</v>
      </c>
      <c r="K266" t="s">
        <v>0</v>
      </c>
      <c r="L266" t="s">
        <v>16</v>
      </c>
      <c r="M266" t="s">
        <v>40</v>
      </c>
    </row>
    <row r="267" spans="1:13" x14ac:dyDescent="0.35">
      <c r="A267" t="s">
        <v>403</v>
      </c>
      <c r="B267">
        <v>5859909550</v>
      </c>
      <c r="C267">
        <v>368241742</v>
      </c>
      <c r="D267" t="s">
        <v>30</v>
      </c>
      <c r="E267" s="7">
        <v>410</v>
      </c>
      <c r="F267" s="7">
        <v>410</v>
      </c>
      <c r="G267" s="7">
        <v>0</v>
      </c>
      <c r="H267" t="s">
        <v>38</v>
      </c>
      <c r="I267" t="s">
        <v>180</v>
      </c>
      <c r="J267" t="s">
        <v>22</v>
      </c>
      <c r="K267" t="s">
        <v>0</v>
      </c>
      <c r="L267" t="s">
        <v>16</v>
      </c>
      <c r="M267" t="s">
        <v>40</v>
      </c>
    </row>
    <row r="268" spans="1:13" x14ac:dyDescent="0.35">
      <c r="A268" t="s">
        <v>404</v>
      </c>
      <c r="B268">
        <v>5030320086</v>
      </c>
      <c r="C268">
        <v>5065412167</v>
      </c>
      <c r="D268" t="s">
        <v>67</v>
      </c>
      <c r="E268" s="7">
        <v>162</v>
      </c>
      <c r="F268" s="7">
        <v>103</v>
      </c>
      <c r="G268" s="7">
        <v>59</v>
      </c>
      <c r="H268" t="s">
        <v>31</v>
      </c>
      <c r="I268" t="s">
        <v>110</v>
      </c>
      <c r="J268" t="s">
        <v>43</v>
      </c>
      <c r="K268" t="s">
        <v>0</v>
      </c>
      <c r="L268" t="s">
        <v>894</v>
      </c>
      <c r="M268" t="s">
        <v>51</v>
      </c>
    </row>
    <row r="269" spans="1:13" x14ac:dyDescent="0.35">
      <c r="A269" t="s">
        <v>405</v>
      </c>
      <c r="B269">
        <v>9263611103</v>
      </c>
      <c r="C269">
        <v>2628036298</v>
      </c>
      <c r="D269" t="s">
        <v>67</v>
      </c>
      <c r="E269" s="7">
        <v>304</v>
      </c>
      <c r="F269" s="7">
        <v>304</v>
      </c>
      <c r="G269" s="7">
        <v>0</v>
      </c>
      <c r="H269" t="s">
        <v>14</v>
      </c>
      <c r="I269" t="s">
        <v>106</v>
      </c>
      <c r="J269" t="s">
        <v>43</v>
      </c>
      <c r="K269" t="s">
        <v>16</v>
      </c>
      <c r="L269" t="s">
        <v>16</v>
      </c>
      <c r="M269" t="s">
        <v>17</v>
      </c>
    </row>
    <row r="270" spans="1:13" x14ac:dyDescent="0.35">
      <c r="A270" t="s">
        <v>406</v>
      </c>
      <c r="B270">
        <v>1612789267</v>
      </c>
      <c r="C270">
        <v>2615650727</v>
      </c>
      <c r="D270" t="s">
        <v>19</v>
      </c>
      <c r="E270" s="7">
        <v>216</v>
      </c>
      <c r="F270" s="7">
        <v>216</v>
      </c>
      <c r="G270" s="7">
        <v>0</v>
      </c>
      <c r="H270" t="s">
        <v>14</v>
      </c>
      <c r="I270" t="s">
        <v>180</v>
      </c>
      <c r="J270" t="s">
        <v>43</v>
      </c>
      <c r="K270" t="s">
        <v>16</v>
      </c>
      <c r="L270" t="s">
        <v>16</v>
      </c>
      <c r="M270" t="s">
        <v>17</v>
      </c>
    </row>
    <row r="271" spans="1:13" x14ac:dyDescent="0.35">
      <c r="A271" t="s">
        <v>407</v>
      </c>
      <c r="B271">
        <v>2560917013</v>
      </c>
      <c r="C271">
        <v>1136643067</v>
      </c>
      <c r="D271" t="s">
        <v>13</v>
      </c>
      <c r="E271" s="7">
        <v>382</v>
      </c>
      <c r="F271" s="7">
        <v>286</v>
      </c>
      <c r="G271" s="7">
        <v>96</v>
      </c>
      <c r="H271" t="s">
        <v>14</v>
      </c>
      <c r="I271" t="s">
        <v>189</v>
      </c>
      <c r="J271" t="s">
        <v>26</v>
      </c>
      <c r="K271" t="s">
        <v>0</v>
      </c>
      <c r="L271" t="s">
        <v>894</v>
      </c>
      <c r="M271" t="s">
        <v>28</v>
      </c>
    </row>
    <row r="272" spans="1:13" x14ac:dyDescent="0.35">
      <c r="A272" t="s">
        <v>408</v>
      </c>
      <c r="B272">
        <v>8580010110</v>
      </c>
      <c r="C272">
        <v>7662231425</v>
      </c>
      <c r="D272" t="s">
        <v>24</v>
      </c>
      <c r="E272" s="7">
        <v>474</v>
      </c>
      <c r="F272" s="7">
        <v>474</v>
      </c>
      <c r="G272" s="7">
        <v>0</v>
      </c>
      <c r="H272" t="s">
        <v>14</v>
      </c>
      <c r="I272" t="s">
        <v>137</v>
      </c>
      <c r="J272" t="s">
        <v>26</v>
      </c>
      <c r="K272" t="s">
        <v>16</v>
      </c>
      <c r="L272" t="s">
        <v>16</v>
      </c>
      <c r="M272" t="s">
        <v>17</v>
      </c>
    </row>
    <row r="273" spans="1:13" x14ac:dyDescent="0.35">
      <c r="A273" t="s">
        <v>409</v>
      </c>
      <c r="B273">
        <v>2460239809</v>
      </c>
      <c r="C273">
        <v>5529613276</v>
      </c>
      <c r="D273" t="s">
        <v>13</v>
      </c>
      <c r="E273" s="7">
        <v>405</v>
      </c>
      <c r="F273" s="7">
        <v>0</v>
      </c>
      <c r="G273" s="7">
        <v>405</v>
      </c>
      <c r="H273" t="s">
        <v>14</v>
      </c>
      <c r="I273" t="s">
        <v>142</v>
      </c>
      <c r="J273" t="s">
        <v>26</v>
      </c>
      <c r="K273" t="s">
        <v>0</v>
      </c>
      <c r="L273" t="s">
        <v>0</v>
      </c>
      <c r="M273" t="s">
        <v>51</v>
      </c>
    </row>
    <row r="274" spans="1:13" x14ac:dyDescent="0.35">
      <c r="A274" t="s">
        <v>410</v>
      </c>
      <c r="B274">
        <v>4697382519</v>
      </c>
      <c r="C274">
        <v>4833982669</v>
      </c>
      <c r="D274" t="s">
        <v>67</v>
      </c>
      <c r="E274" s="7">
        <v>143</v>
      </c>
      <c r="F274" s="7">
        <v>143</v>
      </c>
      <c r="G274" s="7">
        <v>0</v>
      </c>
      <c r="H274" t="s">
        <v>14</v>
      </c>
      <c r="I274" t="s">
        <v>199</v>
      </c>
      <c r="J274" t="s">
        <v>43</v>
      </c>
      <c r="K274" t="s">
        <v>16</v>
      </c>
      <c r="L274" t="s">
        <v>16</v>
      </c>
      <c r="M274" t="s">
        <v>17</v>
      </c>
    </row>
    <row r="275" spans="1:13" x14ac:dyDescent="0.35">
      <c r="A275" t="s">
        <v>411</v>
      </c>
      <c r="B275">
        <v>9782402922</v>
      </c>
      <c r="C275">
        <v>1307098193</v>
      </c>
      <c r="D275" t="s">
        <v>24</v>
      </c>
      <c r="E275" s="7">
        <v>303</v>
      </c>
      <c r="F275" s="7">
        <v>194</v>
      </c>
      <c r="G275" s="7">
        <v>109</v>
      </c>
      <c r="H275" t="s">
        <v>80</v>
      </c>
      <c r="I275" t="s">
        <v>122</v>
      </c>
      <c r="J275" t="s">
        <v>22</v>
      </c>
      <c r="K275" t="s">
        <v>27</v>
      </c>
      <c r="L275" t="s">
        <v>894</v>
      </c>
      <c r="M275" t="s">
        <v>58</v>
      </c>
    </row>
    <row r="276" spans="1:13" x14ac:dyDescent="0.35">
      <c r="A276" t="s">
        <v>412</v>
      </c>
      <c r="B276">
        <v>9057920106</v>
      </c>
      <c r="C276">
        <v>6942480177</v>
      </c>
      <c r="D276" t="s">
        <v>19</v>
      </c>
      <c r="E276" s="7">
        <v>307</v>
      </c>
      <c r="F276" s="7">
        <v>307</v>
      </c>
      <c r="G276" s="7">
        <v>0</v>
      </c>
      <c r="H276" t="s">
        <v>56</v>
      </c>
      <c r="I276" t="s">
        <v>57</v>
      </c>
      <c r="J276" t="s">
        <v>43</v>
      </c>
      <c r="K276" t="s">
        <v>16</v>
      </c>
      <c r="L276" t="s">
        <v>16</v>
      </c>
      <c r="M276" t="s">
        <v>17</v>
      </c>
    </row>
    <row r="277" spans="1:13" x14ac:dyDescent="0.35">
      <c r="A277" t="s">
        <v>413</v>
      </c>
      <c r="B277">
        <v>8677752721</v>
      </c>
      <c r="C277">
        <v>4601673540</v>
      </c>
      <c r="D277" t="s">
        <v>30</v>
      </c>
      <c r="E277" s="7">
        <v>141</v>
      </c>
      <c r="F277" s="7">
        <v>0</v>
      </c>
      <c r="G277" s="7">
        <v>141</v>
      </c>
      <c r="H277" t="s">
        <v>38</v>
      </c>
      <c r="I277" t="s">
        <v>137</v>
      </c>
      <c r="J277" t="s">
        <v>43</v>
      </c>
      <c r="K277" t="s">
        <v>0</v>
      </c>
      <c r="L277" t="s">
        <v>0</v>
      </c>
      <c r="M277" t="s">
        <v>55</v>
      </c>
    </row>
    <row r="278" spans="1:13" x14ac:dyDescent="0.35">
      <c r="A278" t="s">
        <v>414</v>
      </c>
      <c r="B278">
        <v>483386493</v>
      </c>
      <c r="C278">
        <v>5630015141</v>
      </c>
      <c r="D278" t="s">
        <v>30</v>
      </c>
      <c r="E278" s="7">
        <v>423</v>
      </c>
      <c r="F278" s="7">
        <v>423</v>
      </c>
      <c r="G278" s="7">
        <v>0</v>
      </c>
      <c r="H278" t="s">
        <v>14</v>
      </c>
      <c r="I278" t="s">
        <v>103</v>
      </c>
      <c r="J278" t="s">
        <v>43</v>
      </c>
      <c r="K278" t="s">
        <v>27</v>
      </c>
      <c r="L278" t="s">
        <v>16</v>
      </c>
      <c r="M278" t="s">
        <v>44</v>
      </c>
    </row>
    <row r="279" spans="1:13" x14ac:dyDescent="0.35">
      <c r="A279" t="s">
        <v>415</v>
      </c>
      <c r="B279">
        <v>6597943752</v>
      </c>
      <c r="C279">
        <v>6244168815</v>
      </c>
      <c r="D279" t="s">
        <v>24</v>
      </c>
      <c r="E279" s="7">
        <v>331</v>
      </c>
      <c r="F279" s="7">
        <v>0</v>
      </c>
      <c r="G279" s="7">
        <v>331</v>
      </c>
      <c r="H279" t="s">
        <v>56</v>
      </c>
      <c r="I279" t="s">
        <v>48</v>
      </c>
      <c r="J279" t="s">
        <v>26</v>
      </c>
      <c r="K279" t="s">
        <v>27</v>
      </c>
      <c r="L279" t="s">
        <v>0</v>
      </c>
      <c r="M279" t="s">
        <v>55</v>
      </c>
    </row>
    <row r="280" spans="1:13" x14ac:dyDescent="0.35">
      <c r="A280" t="s">
        <v>416</v>
      </c>
      <c r="B280">
        <v>2965863246</v>
      </c>
      <c r="C280">
        <v>8447651611</v>
      </c>
      <c r="D280" t="s">
        <v>13</v>
      </c>
      <c r="E280" s="7">
        <v>134</v>
      </c>
      <c r="F280" s="7">
        <v>93</v>
      </c>
      <c r="G280" s="7">
        <v>41</v>
      </c>
      <c r="H280" t="s">
        <v>99</v>
      </c>
      <c r="I280" t="s">
        <v>173</v>
      </c>
      <c r="J280" t="s">
        <v>22</v>
      </c>
      <c r="K280" t="s">
        <v>0</v>
      </c>
      <c r="L280" t="s">
        <v>894</v>
      </c>
      <c r="M280" t="s">
        <v>51</v>
      </c>
    </row>
    <row r="281" spans="1:13" x14ac:dyDescent="0.35">
      <c r="A281" t="s">
        <v>417</v>
      </c>
      <c r="B281">
        <v>4869510072</v>
      </c>
      <c r="C281">
        <v>2805664052</v>
      </c>
      <c r="D281" t="s">
        <v>67</v>
      </c>
      <c r="E281" s="7">
        <v>385</v>
      </c>
      <c r="F281" s="7">
        <v>385</v>
      </c>
      <c r="G281" s="7">
        <v>0</v>
      </c>
      <c r="H281" t="s">
        <v>80</v>
      </c>
      <c r="I281" t="s">
        <v>191</v>
      </c>
      <c r="J281" t="s">
        <v>22</v>
      </c>
      <c r="K281" t="s">
        <v>27</v>
      </c>
      <c r="L281" t="s">
        <v>16</v>
      </c>
      <c r="M281" t="s">
        <v>40</v>
      </c>
    </row>
    <row r="282" spans="1:13" x14ac:dyDescent="0.35">
      <c r="A282" t="s">
        <v>418</v>
      </c>
      <c r="B282">
        <v>440299261</v>
      </c>
      <c r="C282">
        <v>2625304415</v>
      </c>
      <c r="D282" t="s">
        <v>30</v>
      </c>
      <c r="E282" s="7">
        <v>464</v>
      </c>
      <c r="F282" s="7">
        <v>0</v>
      </c>
      <c r="G282" s="7">
        <v>464</v>
      </c>
      <c r="H282" t="s">
        <v>20</v>
      </c>
      <c r="I282" t="s">
        <v>303</v>
      </c>
      <c r="J282" t="s">
        <v>22</v>
      </c>
      <c r="K282" t="s">
        <v>27</v>
      </c>
      <c r="L282" t="s">
        <v>0</v>
      </c>
      <c r="M282" t="s">
        <v>44</v>
      </c>
    </row>
    <row r="283" spans="1:13" x14ac:dyDescent="0.35">
      <c r="A283" t="s">
        <v>420</v>
      </c>
      <c r="B283">
        <v>8387167886</v>
      </c>
      <c r="C283">
        <v>6937966604</v>
      </c>
      <c r="D283" t="s">
        <v>30</v>
      </c>
      <c r="E283" s="7">
        <v>169</v>
      </c>
      <c r="F283" s="7">
        <v>117</v>
      </c>
      <c r="G283" s="7">
        <v>52</v>
      </c>
      <c r="H283" t="s">
        <v>53</v>
      </c>
      <c r="I283" t="s">
        <v>314</v>
      </c>
      <c r="J283" t="s">
        <v>26</v>
      </c>
      <c r="K283" t="s">
        <v>27</v>
      </c>
      <c r="L283" t="s">
        <v>894</v>
      </c>
      <c r="M283" t="s">
        <v>126</v>
      </c>
    </row>
    <row r="284" spans="1:13" x14ac:dyDescent="0.35">
      <c r="A284" t="s">
        <v>421</v>
      </c>
      <c r="B284">
        <v>2927077214</v>
      </c>
      <c r="C284">
        <v>5735515689</v>
      </c>
      <c r="D284" t="s">
        <v>19</v>
      </c>
      <c r="E284" s="7">
        <v>118</v>
      </c>
      <c r="F284" s="7">
        <v>118</v>
      </c>
      <c r="G284" s="7">
        <v>0</v>
      </c>
      <c r="H284" t="s">
        <v>31</v>
      </c>
      <c r="I284" t="s">
        <v>57</v>
      </c>
      <c r="J284" t="s">
        <v>26</v>
      </c>
      <c r="K284" t="s">
        <v>27</v>
      </c>
      <c r="L284" t="s">
        <v>16</v>
      </c>
      <c r="M284" t="s">
        <v>55</v>
      </c>
    </row>
    <row r="285" spans="1:13" x14ac:dyDescent="0.35">
      <c r="A285" t="s">
        <v>422</v>
      </c>
      <c r="B285">
        <v>6929356945</v>
      </c>
      <c r="C285">
        <v>2851563376</v>
      </c>
      <c r="D285" t="s">
        <v>30</v>
      </c>
      <c r="E285" s="7">
        <v>339</v>
      </c>
      <c r="F285" s="7">
        <v>339</v>
      </c>
      <c r="G285" s="7">
        <v>0</v>
      </c>
      <c r="H285" t="s">
        <v>31</v>
      </c>
      <c r="I285" t="s">
        <v>221</v>
      </c>
      <c r="J285" t="s">
        <v>43</v>
      </c>
      <c r="K285" t="s">
        <v>16</v>
      </c>
      <c r="L285" t="s">
        <v>16</v>
      </c>
      <c r="M285" t="s">
        <v>17</v>
      </c>
    </row>
    <row r="286" spans="1:13" x14ac:dyDescent="0.35">
      <c r="A286" t="s">
        <v>423</v>
      </c>
      <c r="B286">
        <v>8409632684</v>
      </c>
      <c r="C286">
        <v>5733036311</v>
      </c>
      <c r="D286" t="s">
        <v>19</v>
      </c>
      <c r="E286" s="7">
        <v>286</v>
      </c>
      <c r="F286" s="7">
        <v>0</v>
      </c>
      <c r="G286" s="7">
        <v>286</v>
      </c>
      <c r="H286" t="s">
        <v>31</v>
      </c>
      <c r="I286" t="s">
        <v>50</v>
      </c>
      <c r="J286" t="s">
        <v>43</v>
      </c>
      <c r="K286" t="s">
        <v>0</v>
      </c>
      <c r="L286" t="s">
        <v>0</v>
      </c>
      <c r="M286" t="s">
        <v>51</v>
      </c>
    </row>
    <row r="287" spans="1:13" x14ac:dyDescent="0.35">
      <c r="A287" t="s">
        <v>424</v>
      </c>
      <c r="B287">
        <v>9590068541</v>
      </c>
      <c r="C287">
        <v>9571328178</v>
      </c>
      <c r="D287" t="s">
        <v>24</v>
      </c>
      <c r="E287" s="7">
        <v>111</v>
      </c>
      <c r="F287" s="7">
        <v>111</v>
      </c>
      <c r="G287" s="7">
        <v>0</v>
      </c>
      <c r="H287" t="s">
        <v>99</v>
      </c>
      <c r="I287" t="s">
        <v>54</v>
      </c>
      <c r="J287" t="s">
        <v>22</v>
      </c>
      <c r="K287" t="s">
        <v>0</v>
      </c>
      <c r="L287" t="s">
        <v>16</v>
      </c>
      <c r="M287" t="s">
        <v>44</v>
      </c>
    </row>
    <row r="288" spans="1:13" x14ac:dyDescent="0.35">
      <c r="A288" t="s">
        <v>425</v>
      </c>
      <c r="B288">
        <v>169749219</v>
      </c>
      <c r="C288">
        <v>962093076</v>
      </c>
      <c r="D288" t="s">
        <v>13</v>
      </c>
      <c r="E288" s="7">
        <v>322</v>
      </c>
      <c r="F288" s="7">
        <v>322</v>
      </c>
      <c r="G288" s="7">
        <v>0</v>
      </c>
      <c r="H288" t="s">
        <v>56</v>
      </c>
      <c r="I288" t="s">
        <v>96</v>
      </c>
      <c r="J288" t="s">
        <v>22</v>
      </c>
      <c r="K288" t="s">
        <v>16</v>
      </c>
      <c r="L288" t="s">
        <v>16</v>
      </c>
      <c r="M288" t="s">
        <v>17</v>
      </c>
    </row>
    <row r="289" spans="1:13" x14ac:dyDescent="0.35">
      <c r="A289" t="s">
        <v>426</v>
      </c>
      <c r="B289">
        <v>1403744869</v>
      </c>
      <c r="C289">
        <v>5971718138</v>
      </c>
      <c r="D289" t="s">
        <v>13</v>
      </c>
      <c r="E289" s="7">
        <v>197</v>
      </c>
      <c r="F289" s="7">
        <v>197</v>
      </c>
      <c r="G289" s="7">
        <v>0</v>
      </c>
      <c r="H289" t="s">
        <v>99</v>
      </c>
      <c r="I289" t="s">
        <v>144</v>
      </c>
      <c r="J289" t="s">
        <v>43</v>
      </c>
      <c r="K289" t="s">
        <v>0</v>
      </c>
      <c r="L289" t="s">
        <v>16</v>
      </c>
      <c r="M289" t="s">
        <v>55</v>
      </c>
    </row>
    <row r="290" spans="1:13" x14ac:dyDescent="0.35">
      <c r="A290" t="s">
        <v>427</v>
      </c>
      <c r="B290">
        <v>4805561025</v>
      </c>
      <c r="C290">
        <v>9026963603</v>
      </c>
      <c r="D290" t="s">
        <v>13</v>
      </c>
      <c r="E290" s="7">
        <v>232</v>
      </c>
      <c r="F290" s="7">
        <v>232</v>
      </c>
      <c r="G290" s="7">
        <v>0</v>
      </c>
      <c r="H290" t="s">
        <v>31</v>
      </c>
      <c r="I290" t="s">
        <v>235</v>
      </c>
      <c r="J290" t="s">
        <v>22</v>
      </c>
      <c r="K290" t="s">
        <v>16</v>
      </c>
      <c r="L290" t="s">
        <v>16</v>
      </c>
      <c r="M290" t="s">
        <v>17</v>
      </c>
    </row>
    <row r="291" spans="1:13" x14ac:dyDescent="0.35">
      <c r="A291" t="s">
        <v>428</v>
      </c>
      <c r="B291">
        <v>8105376676</v>
      </c>
      <c r="C291">
        <v>4316744945</v>
      </c>
      <c r="D291" t="s">
        <v>19</v>
      </c>
      <c r="E291" s="7">
        <v>395</v>
      </c>
      <c r="F291" s="7">
        <v>288</v>
      </c>
      <c r="G291" s="7">
        <v>107</v>
      </c>
      <c r="H291" t="s">
        <v>99</v>
      </c>
      <c r="I291" t="s">
        <v>63</v>
      </c>
      <c r="J291" t="s">
        <v>22</v>
      </c>
      <c r="K291" t="s">
        <v>27</v>
      </c>
      <c r="L291" t="s">
        <v>894</v>
      </c>
      <c r="M291" t="s">
        <v>44</v>
      </c>
    </row>
    <row r="292" spans="1:13" x14ac:dyDescent="0.35">
      <c r="A292" t="s">
        <v>429</v>
      </c>
      <c r="B292">
        <v>9149963473</v>
      </c>
      <c r="C292">
        <v>8204490032</v>
      </c>
      <c r="D292" t="s">
        <v>19</v>
      </c>
      <c r="E292" s="7">
        <v>177</v>
      </c>
      <c r="F292" s="7">
        <v>177</v>
      </c>
      <c r="G292" s="7">
        <v>0</v>
      </c>
      <c r="H292" t="s">
        <v>99</v>
      </c>
      <c r="I292" t="s">
        <v>100</v>
      </c>
      <c r="J292" t="s">
        <v>26</v>
      </c>
      <c r="K292" t="s">
        <v>16</v>
      </c>
      <c r="L292" t="s">
        <v>16</v>
      </c>
      <c r="M292" t="s">
        <v>17</v>
      </c>
    </row>
    <row r="293" spans="1:13" x14ac:dyDescent="0.35">
      <c r="A293" t="s">
        <v>430</v>
      </c>
      <c r="B293">
        <v>9772695323</v>
      </c>
      <c r="C293">
        <v>9883754872</v>
      </c>
      <c r="D293" t="s">
        <v>67</v>
      </c>
      <c r="E293" s="7">
        <v>392</v>
      </c>
      <c r="F293" s="7">
        <v>392</v>
      </c>
      <c r="G293" s="7">
        <v>0</v>
      </c>
      <c r="H293" t="s">
        <v>53</v>
      </c>
      <c r="I293" t="s">
        <v>157</v>
      </c>
      <c r="J293" t="s">
        <v>26</v>
      </c>
      <c r="K293" t="s">
        <v>16</v>
      </c>
      <c r="L293" t="s">
        <v>16</v>
      </c>
      <c r="M293" t="s">
        <v>17</v>
      </c>
    </row>
    <row r="294" spans="1:13" x14ac:dyDescent="0.35">
      <c r="A294" t="s">
        <v>431</v>
      </c>
      <c r="B294">
        <v>7120927920</v>
      </c>
      <c r="C294">
        <v>9180186945</v>
      </c>
      <c r="D294" t="s">
        <v>24</v>
      </c>
      <c r="E294" s="7">
        <v>364</v>
      </c>
      <c r="F294" s="7">
        <v>0</v>
      </c>
      <c r="G294" s="7">
        <v>364</v>
      </c>
      <c r="H294" t="s">
        <v>99</v>
      </c>
      <c r="I294" t="s">
        <v>109</v>
      </c>
      <c r="J294" t="s">
        <v>26</v>
      </c>
      <c r="K294" t="s">
        <v>27</v>
      </c>
      <c r="L294" t="s">
        <v>0</v>
      </c>
      <c r="M294" t="s">
        <v>40</v>
      </c>
    </row>
    <row r="295" spans="1:13" x14ac:dyDescent="0.35">
      <c r="A295" t="s">
        <v>432</v>
      </c>
      <c r="B295">
        <v>9421357067</v>
      </c>
      <c r="C295">
        <v>4534495166</v>
      </c>
      <c r="D295" t="s">
        <v>13</v>
      </c>
      <c r="E295" s="7">
        <v>449</v>
      </c>
      <c r="F295" s="7">
        <v>449</v>
      </c>
      <c r="G295" s="7">
        <v>0</v>
      </c>
      <c r="H295" t="s">
        <v>56</v>
      </c>
      <c r="I295" t="s">
        <v>221</v>
      </c>
      <c r="J295" t="s">
        <v>22</v>
      </c>
      <c r="K295" t="s">
        <v>27</v>
      </c>
      <c r="L295" t="s">
        <v>16</v>
      </c>
      <c r="M295" t="s">
        <v>58</v>
      </c>
    </row>
    <row r="296" spans="1:13" x14ac:dyDescent="0.35">
      <c r="A296" t="s">
        <v>433</v>
      </c>
      <c r="B296">
        <v>5291618217</v>
      </c>
      <c r="C296">
        <v>7503967101</v>
      </c>
      <c r="D296" t="s">
        <v>24</v>
      </c>
      <c r="E296" s="7">
        <v>208</v>
      </c>
      <c r="F296" s="7">
        <v>145</v>
      </c>
      <c r="G296" s="7">
        <v>63</v>
      </c>
      <c r="H296" t="s">
        <v>20</v>
      </c>
      <c r="I296" t="s">
        <v>191</v>
      </c>
      <c r="J296" t="s">
        <v>22</v>
      </c>
      <c r="K296" t="s">
        <v>27</v>
      </c>
      <c r="L296" t="s">
        <v>894</v>
      </c>
      <c r="M296" t="s">
        <v>33</v>
      </c>
    </row>
    <row r="297" spans="1:13" x14ac:dyDescent="0.35">
      <c r="A297" t="s">
        <v>434</v>
      </c>
      <c r="B297">
        <v>9689538816</v>
      </c>
      <c r="C297">
        <v>1827322184</v>
      </c>
      <c r="D297" t="s">
        <v>19</v>
      </c>
      <c r="E297" s="7">
        <v>316</v>
      </c>
      <c r="F297" s="7">
        <v>316</v>
      </c>
      <c r="G297" s="7">
        <v>0</v>
      </c>
      <c r="H297" t="s">
        <v>56</v>
      </c>
      <c r="I297" t="s">
        <v>354</v>
      </c>
      <c r="J297" t="s">
        <v>26</v>
      </c>
      <c r="K297" t="s">
        <v>16</v>
      </c>
      <c r="L297" t="s">
        <v>16</v>
      </c>
      <c r="M297" t="s">
        <v>17</v>
      </c>
    </row>
    <row r="298" spans="1:13" x14ac:dyDescent="0.35">
      <c r="A298" t="s">
        <v>435</v>
      </c>
      <c r="B298">
        <v>9278720661</v>
      </c>
      <c r="C298">
        <v>6359250480</v>
      </c>
      <c r="D298" t="s">
        <v>30</v>
      </c>
      <c r="E298" s="7">
        <v>424</v>
      </c>
      <c r="F298" s="7">
        <v>424</v>
      </c>
      <c r="G298" s="7">
        <v>0</v>
      </c>
      <c r="H298" t="s">
        <v>53</v>
      </c>
      <c r="I298" t="s">
        <v>116</v>
      </c>
      <c r="J298" t="s">
        <v>22</v>
      </c>
      <c r="K298" t="s">
        <v>16</v>
      </c>
      <c r="L298" t="s">
        <v>16</v>
      </c>
      <c r="M298" t="s">
        <v>17</v>
      </c>
    </row>
    <row r="299" spans="1:13" x14ac:dyDescent="0.35">
      <c r="A299" t="s">
        <v>436</v>
      </c>
      <c r="B299">
        <v>7773137379</v>
      </c>
      <c r="C299">
        <v>510041844</v>
      </c>
      <c r="D299" t="s">
        <v>19</v>
      </c>
      <c r="E299" s="7">
        <v>108</v>
      </c>
      <c r="F299" s="7">
        <v>108</v>
      </c>
      <c r="G299" s="7">
        <v>0</v>
      </c>
      <c r="H299" t="s">
        <v>53</v>
      </c>
      <c r="I299" t="s">
        <v>74</v>
      </c>
      <c r="J299" t="s">
        <v>26</v>
      </c>
      <c r="K299" t="s">
        <v>16</v>
      </c>
      <c r="L299" t="s">
        <v>16</v>
      </c>
      <c r="M299" t="s">
        <v>17</v>
      </c>
    </row>
    <row r="300" spans="1:13" x14ac:dyDescent="0.35">
      <c r="A300" t="s">
        <v>437</v>
      </c>
      <c r="B300">
        <v>1481021019</v>
      </c>
      <c r="C300">
        <v>991160380</v>
      </c>
      <c r="D300" t="s">
        <v>13</v>
      </c>
      <c r="E300" s="7">
        <v>398</v>
      </c>
      <c r="F300" s="7">
        <v>328</v>
      </c>
      <c r="G300" s="7">
        <v>70</v>
      </c>
      <c r="H300" t="s">
        <v>20</v>
      </c>
      <c r="I300" t="s">
        <v>114</v>
      </c>
      <c r="J300" t="s">
        <v>26</v>
      </c>
      <c r="K300" t="s">
        <v>27</v>
      </c>
      <c r="L300" t="s">
        <v>894</v>
      </c>
      <c r="M300" t="s">
        <v>51</v>
      </c>
    </row>
    <row r="301" spans="1:13" x14ac:dyDescent="0.35">
      <c r="A301" t="s">
        <v>438</v>
      </c>
      <c r="B301">
        <v>648869700</v>
      </c>
      <c r="C301">
        <v>6623800330</v>
      </c>
      <c r="D301" t="s">
        <v>24</v>
      </c>
      <c r="E301" s="7">
        <v>435</v>
      </c>
      <c r="F301" s="7">
        <v>435</v>
      </c>
      <c r="G301" s="7">
        <v>0</v>
      </c>
      <c r="H301" t="s">
        <v>56</v>
      </c>
      <c r="I301" t="s">
        <v>65</v>
      </c>
      <c r="J301" t="s">
        <v>43</v>
      </c>
      <c r="K301" t="s">
        <v>16</v>
      </c>
      <c r="L301" t="s">
        <v>16</v>
      </c>
      <c r="M301" t="s">
        <v>17</v>
      </c>
    </row>
    <row r="302" spans="1:13" x14ac:dyDescent="0.35">
      <c r="A302" t="s">
        <v>439</v>
      </c>
      <c r="B302">
        <v>8470537100</v>
      </c>
      <c r="C302">
        <v>4324603209</v>
      </c>
      <c r="D302" t="s">
        <v>24</v>
      </c>
      <c r="E302" s="7">
        <v>163</v>
      </c>
      <c r="F302" s="7">
        <v>0</v>
      </c>
      <c r="G302" s="7">
        <v>163</v>
      </c>
      <c r="H302" t="s">
        <v>99</v>
      </c>
      <c r="I302" t="s">
        <v>114</v>
      </c>
      <c r="J302" t="s">
        <v>22</v>
      </c>
      <c r="K302" t="s">
        <v>27</v>
      </c>
      <c r="L302" t="s">
        <v>0</v>
      </c>
      <c r="M302" t="s">
        <v>58</v>
      </c>
    </row>
    <row r="303" spans="1:13" x14ac:dyDescent="0.35">
      <c r="A303" t="s">
        <v>440</v>
      </c>
      <c r="B303">
        <v>1119891441</v>
      </c>
      <c r="C303">
        <v>8812199103</v>
      </c>
      <c r="D303" t="s">
        <v>30</v>
      </c>
      <c r="E303" s="7">
        <v>453</v>
      </c>
      <c r="F303" s="7">
        <v>0</v>
      </c>
      <c r="G303" s="7">
        <v>453</v>
      </c>
      <c r="H303" t="s">
        <v>80</v>
      </c>
      <c r="I303" t="s">
        <v>100</v>
      </c>
      <c r="J303" t="s">
        <v>43</v>
      </c>
      <c r="K303" t="s">
        <v>0</v>
      </c>
      <c r="L303" t="s">
        <v>0</v>
      </c>
      <c r="M303" t="s">
        <v>33</v>
      </c>
    </row>
    <row r="304" spans="1:13" x14ac:dyDescent="0.35">
      <c r="A304" t="s">
        <v>441</v>
      </c>
      <c r="B304">
        <v>4773078033</v>
      </c>
      <c r="C304">
        <v>9924142686</v>
      </c>
      <c r="D304" t="s">
        <v>24</v>
      </c>
      <c r="E304" s="7">
        <v>107</v>
      </c>
      <c r="F304" s="7">
        <v>107</v>
      </c>
      <c r="G304" s="7">
        <v>0</v>
      </c>
      <c r="H304" t="s">
        <v>38</v>
      </c>
      <c r="I304" t="s">
        <v>21</v>
      </c>
      <c r="J304" t="s">
        <v>43</v>
      </c>
      <c r="K304" t="s">
        <v>27</v>
      </c>
      <c r="L304" t="s">
        <v>16</v>
      </c>
      <c r="M304" t="s">
        <v>126</v>
      </c>
    </row>
    <row r="305" spans="1:13" x14ac:dyDescent="0.35">
      <c r="A305" t="s">
        <v>442</v>
      </c>
      <c r="B305">
        <v>9047868298</v>
      </c>
      <c r="C305">
        <v>7806014030</v>
      </c>
      <c r="D305" t="s">
        <v>13</v>
      </c>
      <c r="E305" s="7">
        <v>472</v>
      </c>
      <c r="F305" s="7">
        <v>333</v>
      </c>
      <c r="G305" s="7">
        <v>139</v>
      </c>
      <c r="H305" t="s">
        <v>70</v>
      </c>
      <c r="I305" t="s">
        <v>180</v>
      </c>
      <c r="J305" t="s">
        <v>22</v>
      </c>
      <c r="K305" t="s">
        <v>0</v>
      </c>
      <c r="L305" t="s">
        <v>894</v>
      </c>
      <c r="M305" t="s">
        <v>40</v>
      </c>
    </row>
    <row r="306" spans="1:13" x14ac:dyDescent="0.35">
      <c r="A306" t="s">
        <v>443</v>
      </c>
      <c r="B306">
        <v>2932398420</v>
      </c>
      <c r="C306">
        <v>2293229694</v>
      </c>
      <c r="D306" t="s">
        <v>30</v>
      </c>
      <c r="E306" s="7">
        <v>155</v>
      </c>
      <c r="F306" s="7">
        <v>155</v>
      </c>
      <c r="G306" s="7">
        <v>0</v>
      </c>
      <c r="H306" t="s">
        <v>56</v>
      </c>
      <c r="I306" t="s">
        <v>317</v>
      </c>
      <c r="J306" t="s">
        <v>22</v>
      </c>
      <c r="K306" t="s">
        <v>0</v>
      </c>
      <c r="L306" t="s">
        <v>16</v>
      </c>
      <c r="M306" t="s">
        <v>28</v>
      </c>
    </row>
    <row r="307" spans="1:13" x14ac:dyDescent="0.35">
      <c r="A307" t="s">
        <v>444</v>
      </c>
      <c r="B307">
        <v>8945326160</v>
      </c>
      <c r="C307">
        <v>4140137127</v>
      </c>
      <c r="D307" t="s">
        <v>13</v>
      </c>
      <c r="E307" s="7">
        <v>237</v>
      </c>
      <c r="F307" s="7">
        <v>0</v>
      </c>
      <c r="G307" s="7">
        <v>237</v>
      </c>
      <c r="H307" t="s">
        <v>56</v>
      </c>
      <c r="I307" t="s">
        <v>94</v>
      </c>
      <c r="J307" t="s">
        <v>26</v>
      </c>
      <c r="K307" t="s">
        <v>27</v>
      </c>
      <c r="L307" t="s">
        <v>0</v>
      </c>
      <c r="M307" t="s">
        <v>55</v>
      </c>
    </row>
    <row r="308" spans="1:13" x14ac:dyDescent="0.35">
      <c r="A308" t="s">
        <v>445</v>
      </c>
      <c r="B308">
        <v>5321622483</v>
      </c>
      <c r="C308">
        <v>9404091979</v>
      </c>
      <c r="D308" t="s">
        <v>24</v>
      </c>
      <c r="E308" s="7">
        <v>103</v>
      </c>
      <c r="F308" s="7">
        <v>0</v>
      </c>
      <c r="G308" s="7">
        <v>103</v>
      </c>
      <c r="H308" t="s">
        <v>35</v>
      </c>
      <c r="I308" t="s">
        <v>314</v>
      </c>
      <c r="J308" t="s">
        <v>43</v>
      </c>
      <c r="K308" t="s">
        <v>27</v>
      </c>
      <c r="L308" t="s">
        <v>0</v>
      </c>
      <c r="M308" t="s">
        <v>44</v>
      </c>
    </row>
    <row r="309" spans="1:13" x14ac:dyDescent="0.35">
      <c r="A309" t="s">
        <v>446</v>
      </c>
      <c r="B309">
        <v>1358198320</v>
      </c>
      <c r="C309">
        <v>3003148546</v>
      </c>
      <c r="D309" t="s">
        <v>13</v>
      </c>
      <c r="E309" s="7">
        <v>256</v>
      </c>
      <c r="F309" s="7">
        <v>192</v>
      </c>
      <c r="G309" s="7">
        <v>64</v>
      </c>
      <c r="H309" t="s">
        <v>14</v>
      </c>
      <c r="I309" t="s">
        <v>187</v>
      </c>
      <c r="J309" t="s">
        <v>43</v>
      </c>
      <c r="K309" t="s">
        <v>0</v>
      </c>
      <c r="L309" t="s">
        <v>894</v>
      </c>
      <c r="M309" t="s">
        <v>40</v>
      </c>
    </row>
    <row r="310" spans="1:13" x14ac:dyDescent="0.35">
      <c r="A310" t="s">
        <v>447</v>
      </c>
      <c r="B310">
        <v>1109442085</v>
      </c>
      <c r="C310">
        <v>5127757508</v>
      </c>
      <c r="D310" t="s">
        <v>30</v>
      </c>
      <c r="E310" s="7">
        <v>244</v>
      </c>
      <c r="F310" s="7">
        <v>244</v>
      </c>
      <c r="G310" s="7">
        <v>0</v>
      </c>
      <c r="H310" t="s">
        <v>35</v>
      </c>
      <c r="I310" t="s">
        <v>235</v>
      </c>
      <c r="J310" t="s">
        <v>43</v>
      </c>
      <c r="K310" t="s">
        <v>27</v>
      </c>
      <c r="L310" t="s">
        <v>16</v>
      </c>
      <c r="M310" t="s">
        <v>28</v>
      </c>
    </row>
    <row r="311" spans="1:13" x14ac:dyDescent="0.35">
      <c r="A311" t="s">
        <v>448</v>
      </c>
      <c r="B311">
        <v>8540963745</v>
      </c>
      <c r="C311">
        <v>7521507763</v>
      </c>
      <c r="D311" t="s">
        <v>13</v>
      </c>
      <c r="E311" s="7">
        <v>272</v>
      </c>
      <c r="F311" s="7">
        <v>176</v>
      </c>
      <c r="G311" s="7">
        <v>96</v>
      </c>
      <c r="H311" t="s">
        <v>31</v>
      </c>
      <c r="I311" t="s">
        <v>259</v>
      </c>
      <c r="J311" t="s">
        <v>26</v>
      </c>
      <c r="K311" t="s">
        <v>0</v>
      </c>
      <c r="L311" t="s">
        <v>894</v>
      </c>
      <c r="M311" t="s">
        <v>51</v>
      </c>
    </row>
    <row r="312" spans="1:13" x14ac:dyDescent="0.35">
      <c r="A312" t="s">
        <v>449</v>
      </c>
      <c r="B312">
        <v>3975177649</v>
      </c>
      <c r="C312">
        <v>2618036215</v>
      </c>
      <c r="D312" t="s">
        <v>30</v>
      </c>
      <c r="E312" s="7">
        <v>363</v>
      </c>
      <c r="F312" s="7">
        <v>363</v>
      </c>
      <c r="G312" s="7">
        <v>0</v>
      </c>
      <c r="H312" t="s">
        <v>31</v>
      </c>
      <c r="I312" t="s">
        <v>61</v>
      </c>
      <c r="J312" t="s">
        <v>22</v>
      </c>
      <c r="K312" t="s">
        <v>16</v>
      </c>
      <c r="L312" t="s">
        <v>16</v>
      </c>
      <c r="M312" t="s">
        <v>17</v>
      </c>
    </row>
    <row r="313" spans="1:13" x14ac:dyDescent="0.35">
      <c r="A313" t="s">
        <v>450</v>
      </c>
      <c r="B313">
        <v>4411310137</v>
      </c>
      <c r="C313">
        <v>9519889489</v>
      </c>
      <c r="D313" t="s">
        <v>19</v>
      </c>
      <c r="E313" s="7">
        <v>459</v>
      </c>
      <c r="F313" s="7">
        <v>319</v>
      </c>
      <c r="G313" s="7">
        <v>140</v>
      </c>
      <c r="H313" t="s">
        <v>38</v>
      </c>
      <c r="I313" t="s">
        <v>25</v>
      </c>
      <c r="J313" t="s">
        <v>26</v>
      </c>
      <c r="K313" t="s">
        <v>27</v>
      </c>
      <c r="L313" t="s">
        <v>894</v>
      </c>
      <c r="M313" t="s">
        <v>40</v>
      </c>
    </row>
    <row r="314" spans="1:13" x14ac:dyDescent="0.35">
      <c r="A314" t="s">
        <v>451</v>
      </c>
      <c r="B314">
        <v>7316706692</v>
      </c>
      <c r="C314">
        <v>6402426562</v>
      </c>
      <c r="D314" t="s">
        <v>24</v>
      </c>
      <c r="E314" s="7">
        <v>151</v>
      </c>
      <c r="F314" s="7">
        <v>151</v>
      </c>
      <c r="G314" s="7">
        <v>0</v>
      </c>
      <c r="H314" t="s">
        <v>80</v>
      </c>
      <c r="I314" t="s">
        <v>25</v>
      </c>
      <c r="J314" t="s">
        <v>26</v>
      </c>
      <c r="K314" t="s">
        <v>0</v>
      </c>
      <c r="L314" t="s">
        <v>16</v>
      </c>
      <c r="M314" t="s">
        <v>44</v>
      </c>
    </row>
    <row r="315" spans="1:13" x14ac:dyDescent="0.35">
      <c r="A315" t="s">
        <v>452</v>
      </c>
      <c r="B315">
        <v>5053818950</v>
      </c>
      <c r="C315">
        <v>9838023124</v>
      </c>
      <c r="D315" t="s">
        <v>19</v>
      </c>
      <c r="E315" s="7">
        <v>239</v>
      </c>
      <c r="F315" s="7">
        <v>239</v>
      </c>
      <c r="G315" s="7">
        <v>0</v>
      </c>
      <c r="H315" t="s">
        <v>38</v>
      </c>
      <c r="I315" t="s">
        <v>215</v>
      </c>
      <c r="J315" t="s">
        <v>26</v>
      </c>
      <c r="K315" t="s">
        <v>16</v>
      </c>
      <c r="L315" t="s">
        <v>16</v>
      </c>
      <c r="M315" t="s">
        <v>17</v>
      </c>
    </row>
    <row r="316" spans="1:13" x14ac:dyDescent="0.35">
      <c r="A316" t="s">
        <v>453</v>
      </c>
      <c r="B316">
        <v>611872923</v>
      </c>
      <c r="C316">
        <v>8090101999</v>
      </c>
      <c r="D316" t="s">
        <v>24</v>
      </c>
      <c r="E316" s="7">
        <v>336</v>
      </c>
      <c r="F316" s="7">
        <v>336</v>
      </c>
      <c r="G316" s="7">
        <v>0</v>
      </c>
      <c r="H316" t="s">
        <v>38</v>
      </c>
      <c r="I316" t="s">
        <v>92</v>
      </c>
      <c r="J316" t="s">
        <v>22</v>
      </c>
      <c r="K316" t="s">
        <v>0</v>
      </c>
      <c r="L316" t="s">
        <v>16</v>
      </c>
      <c r="M316" t="s">
        <v>51</v>
      </c>
    </row>
    <row r="317" spans="1:13" x14ac:dyDescent="0.35">
      <c r="A317" t="s">
        <v>454</v>
      </c>
      <c r="B317">
        <v>4208309782</v>
      </c>
      <c r="C317">
        <v>9299849039</v>
      </c>
      <c r="D317" t="s">
        <v>13</v>
      </c>
      <c r="E317" s="7">
        <v>198</v>
      </c>
      <c r="F317" s="7">
        <v>198</v>
      </c>
      <c r="G317" s="7">
        <v>0</v>
      </c>
      <c r="H317" t="s">
        <v>14</v>
      </c>
      <c r="I317" t="s">
        <v>101</v>
      </c>
      <c r="J317" t="s">
        <v>26</v>
      </c>
      <c r="K317" t="s">
        <v>16</v>
      </c>
      <c r="L317" t="s">
        <v>16</v>
      </c>
      <c r="M317" t="s">
        <v>17</v>
      </c>
    </row>
    <row r="318" spans="1:13" x14ac:dyDescent="0.35">
      <c r="A318" t="s">
        <v>455</v>
      </c>
      <c r="B318">
        <v>5669034387</v>
      </c>
      <c r="C318">
        <v>5176525204</v>
      </c>
      <c r="D318" t="s">
        <v>30</v>
      </c>
      <c r="E318" s="7">
        <v>192</v>
      </c>
      <c r="F318" s="7">
        <v>140</v>
      </c>
      <c r="G318" s="7">
        <v>52</v>
      </c>
      <c r="H318" t="s">
        <v>80</v>
      </c>
      <c r="I318" t="s">
        <v>103</v>
      </c>
      <c r="J318" t="s">
        <v>26</v>
      </c>
      <c r="K318" t="s">
        <v>27</v>
      </c>
      <c r="L318" t="s">
        <v>894</v>
      </c>
      <c r="M318" t="s">
        <v>126</v>
      </c>
    </row>
    <row r="319" spans="1:13" x14ac:dyDescent="0.35">
      <c r="A319" t="s">
        <v>456</v>
      </c>
      <c r="B319">
        <v>2097151222</v>
      </c>
      <c r="C319">
        <v>9951071448</v>
      </c>
      <c r="D319" t="s">
        <v>67</v>
      </c>
      <c r="E319" s="7">
        <v>494</v>
      </c>
      <c r="F319" s="7">
        <v>494</v>
      </c>
      <c r="G319" s="7">
        <v>0</v>
      </c>
      <c r="H319" t="s">
        <v>38</v>
      </c>
      <c r="I319" t="s">
        <v>138</v>
      </c>
      <c r="J319" t="s">
        <v>43</v>
      </c>
      <c r="K319" t="s">
        <v>27</v>
      </c>
      <c r="L319" t="s">
        <v>16</v>
      </c>
      <c r="M319" t="s">
        <v>44</v>
      </c>
    </row>
    <row r="320" spans="1:13" x14ac:dyDescent="0.35">
      <c r="A320" t="s">
        <v>457</v>
      </c>
      <c r="B320">
        <v>540646353</v>
      </c>
      <c r="C320">
        <v>7121601568</v>
      </c>
      <c r="D320" t="s">
        <v>24</v>
      </c>
      <c r="E320" s="7">
        <v>142</v>
      </c>
      <c r="F320" s="7">
        <v>0</v>
      </c>
      <c r="G320" s="7">
        <v>142</v>
      </c>
      <c r="H320" t="s">
        <v>70</v>
      </c>
      <c r="I320" t="s">
        <v>61</v>
      </c>
      <c r="J320" t="s">
        <v>22</v>
      </c>
      <c r="K320" t="s">
        <v>0</v>
      </c>
      <c r="L320" t="s">
        <v>0</v>
      </c>
      <c r="M320" t="s">
        <v>33</v>
      </c>
    </row>
    <row r="321" spans="1:13" x14ac:dyDescent="0.35">
      <c r="A321" t="s">
        <v>458</v>
      </c>
      <c r="B321">
        <v>33414211</v>
      </c>
      <c r="C321">
        <v>2964099336</v>
      </c>
      <c r="D321" t="s">
        <v>13</v>
      </c>
      <c r="E321" s="7">
        <v>276</v>
      </c>
      <c r="F321" s="7">
        <v>276</v>
      </c>
      <c r="G321" s="7">
        <v>0</v>
      </c>
      <c r="H321" t="s">
        <v>53</v>
      </c>
      <c r="I321" t="s">
        <v>88</v>
      </c>
      <c r="J321" t="s">
        <v>22</v>
      </c>
      <c r="K321" t="s">
        <v>27</v>
      </c>
      <c r="L321" t="s">
        <v>16</v>
      </c>
      <c r="M321" t="s">
        <v>33</v>
      </c>
    </row>
    <row r="322" spans="1:13" x14ac:dyDescent="0.35">
      <c r="A322" t="s">
        <v>459</v>
      </c>
      <c r="B322">
        <v>3050607331</v>
      </c>
      <c r="C322">
        <v>6787726636</v>
      </c>
      <c r="D322" t="s">
        <v>67</v>
      </c>
      <c r="E322" s="7">
        <v>193</v>
      </c>
      <c r="F322" s="7">
        <v>146</v>
      </c>
      <c r="G322" s="7">
        <v>47</v>
      </c>
      <c r="H322" t="s">
        <v>31</v>
      </c>
      <c r="I322" t="s">
        <v>46</v>
      </c>
      <c r="J322" t="s">
        <v>43</v>
      </c>
      <c r="K322" t="s">
        <v>0</v>
      </c>
      <c r="L322" t="s">
        <v>894</v>
      </c>
      <c r="M322" t="s">
        <v>126</v>
      </c>
    </row>
    <row r="323" spans="1:13" x14ac:dyDescent="0.35">
      <c r="A323" t="s">
        <v>460</v>
      </c>
      <c r="B323">
        <v>5605938725</v>
      </c>
      <c r="C323">
        <v>3739961537</v>
      </c>
      <c r="D323" t="s">
        <v>19</v>
      </c>
      <c r="E323" s="7">
        <v>321</v>
      </c>
      <c r="F323" s="7">
        <v>0</v>
      </c>
      <c r="G323" s="7">
        <v>321</v>
      </c>
      <c r="H323" t="s">
        <v>53</v>
      </c>
      <c r="I323" t="s">
        <v>215</v>
      </c>
      <c r="J323" t="s">
        <v>22</v>
      </c>
      <c r="K323" t="s">
        <v>0</v>
      </c>
      <c r="L323" t="s">
        <v>0</v>
      </c>
      <c r="M323" t="s">
        <v>126</v>
      </c>
    </row>
    <row r="324" spans="1:13" x14ac:dyDescent="0.35">
      <c r="A324" t="s">
        <v>461</v>
      </c>
      <c r="B324">
        <v>1216065934</v>
      </c>
      <c r="C324">
        <v>3285396823</v>
      </c>
      <c r="D324" t="s">
        <v>19</v>
      </c>
      <c r="E324" s="7">
        <v>388</v>
      </c>
      <c r="F324" s="7">
        <v>388</v>
      </c>
      <c r="G324" s="7">
        <v>0</v>
      </c>
      <c r="H324" t="s">
        <v>80</v>
      </c>
      <c r="I324" t="s">
        <v>180</v>
      </c>
      <c r="J324" t="s">
        <v>26</v>
      </c>
      <c r="K324" t="s">
        <v>16</v>
      </c>
      <c r="L324" t="s">
        <v>16</v>
      </c>
      <c r="M324" t="s">
        <v>17</v>
      </c>
    </row>
    <row r="325" spans="1:13" x14ac:dyDescent="0.35">
      <c r="A325" t="s">
        <v>462</v>
      </c>
      <c r="B325">
        <v>4964277787</v>
      </c>
      <c r="C325">
        <v>6441000562</v>
      </c>
      <c r="D325" t="s">
        <v>19</v>
      </c>
      <c r="E325" s="7">
        <v>127</v>
      </c>
      <c r="F325" s="7">
        <v>0</v>
      </c>
      <c r="G325" s="7">
        <v>127</v>
      </c>
      <c r="H325" t="s">
        <v>56</v>
      </c>
      <c r="I325" t="s">
        <v>220</v>
      </c>
      <c r="J325" t="s">
        <v>22</v>
      </c>
      <c r="K325" t="s">
        <v>27</v>
      </c>
      <c r="L325" t="s">
        <v>0</v>
      </c>
      <c r="M325" t="s">
        <v>58</v>
      </c>
    </row>
    <row r="326" spans="1:13" x14ac:dyDescent="0.35">
      <c r="A326" t="s">
        <v>463</v>
      </c>
      <c r="B326">
        <v>477240076</v>
      </c>
      <c r="C326">
        <v>2963442104</v>
      </c>
      <c r="D326" t="s">
        <v>30</v>
      </c>
      <c r="E326" s="7">
        <v>248</v>
      </c>
      <c r="F326" s="7">
        <v>248</v>
      </c>
      <c r="G326" s="7">
        <v>0</v>
      </c>
      <c r="H326" t="s">
        <v>80</v>
      </c>
      <c r="I326" t="s">
        <v>100</v>
      </c>
      <c r="J326" t="s">
        <v>26</v>
      </c>
      <c r="K326" t="s">
        <v>0</v>
      </c>
      <c r="L326" t="s">
        <v>16</v>
      </c>
      <c r="M326" t="s">
        <v>28</v>
      </c>
    </row>
    <row r="327" spans="1:13" x14ac:dyDescent="0.35">
      <c r="A327" t="s">
        <v>464</v>
      </c>
      <c r="B327">
        <v>4053169361</v>
      </c>
      <c r="C327">
        <v>3931389346</v>
      </c>
      <c r="D327" t="s">
        <v>24</v>
      </c>
      <c r="E327" s="7">
        <v>261</v>
      </c>
      <c r="F327" s="7">
        <v>162</v>
      </c>
      <c r="G327" s="7">
        <v>99</v>
      </c>
      <c r="H327" t="s">
        <v>20</v>
      </c>
      <c r="I327" t="s">
        <v>465</v>
      </c>
      <c r="J327" t="s">
        <v>43</v>
      </c>
      <c r="K327" t="s">
        <v>27</v>
      </c>
      <c r="L327" t="s">
        <v>894</v>
      </c>
      <c r="M327" t="s">
        <v>126</v>
      </c>
    </row>
    <row r="328" spans="1:13" x14ac:dyDescent="0.35">
      <c r="A328" t="s">
        <v>466</v>
      </c>
      <c r="B328">
        <v>1341398511</v>
      </c>
      <c r="C328">
        <v>3148120372</v>
      </c>
      <c r="D328" t="s">
        <v>19</v>
      </c>
      <c r="E328" s="7">
        <v>122</v>
      </c>
      <c r="F328" s="7">
        <v>122</v>
      </c>
      <c r="G328" s="7">
        <v>0</v>
      </c>
      <c r="H328" t="s">
        <v>31</v>
      </c>
      <c r="I328" t="s">
        <v>132</v>
      </c>
      <c r="J328" t="s">
        <v>26</v>
      </c>
      <c r="K328" t="s">
        <v>16</v>
      </c>
      <c r="L328" t="s">
        <v>16</v>
      </c>
      <c r="M328" t="s">
        <v>17</v>
      </c>
    </row>
    <row r="329" spans="1:13" x14ac:dyDescent="0.35">
      <c r="A329" t="s">
        <v>467</v>
      </c>
      <c r="B329">
        <v>3451475619</v>
      </c>
      <c r="C329">
        <v>4699664259</v>
      </c>
      <c r="D329" t="s">
        <v>13</v>
      </c>
      <c r="E329" s="7">
        <v>390</v>
      </c>
      <c r="F329" s="7">
        <v>390</v>
      </c>
      <c r="G329" s="7">
        <v>0</v>
      </c>
      <c r="H329" t="s">
        <v>14</v>
      </c>
      <c r="I329" t="s">
        <v>317</v>
      </c>
      <c r="J329" t="s">
        <v>43</v>
      </c>
      <c r="K329" t="s">
        <v>16</v>
      </c>
      <c r="L329" t="s">
        <v>16</v>
      </c>
      <c r="M329" t="s">
        <v>17</v>
      </c>
    </row>
    <row r="330" spans="1:13" x14ac:dyDescent="0.35">
      <c r="A330" t="s">
        <v>468</v>
      </c>
      <c r="B330">
        <v>2141428058</v>
      </c>
      <c r="C330">
        <v>649481965</v>
      </c>
      <c r="D330" t="s">
        <v>13</v>
      </c>
      <c r="E330" s="7">
        <v>446</v>
      </c>
      <c r="F330" s="7">
        <v>0</v>
      </c>
      <c r="G330" s="7">
        <v>446</v>
      </c>
      <c r="H330" t="s">
        <v>56</v>
      </c>
      <c r="I330" t="s">
        <v>74</v>
      </c>
      <c r="J330" t="s">
        <v>43</v>
      </c>
      <c r="K330" t="s">
        <v>0</v>
      </c>
      <c r="L330" t="s">
        <v>0</v>
      </c>
      <c r="M330" t="s">
        <v>33</v>
      </c>
    </row>
    <row r="331" spans="1:13" x14ac:dyDescent="0.35">
      <c r="A331" t="s">
        <v>469</v>
      </c>
      <c r="B331">
        <v>1357123055</v>
      </c>
      <c r="C331">
        <v>9274997838</v>
      </c>
      <c r="D331" t="s">
        <v>13</v>
      </c>
      <c r="E331" s="7">
        <v>234</v>
      </c>
      <c r="F331" s="7">
        <v>234</v>
      </c>
      <c r="G331" s="7">
        <v>0</v>
      </c>
      <c r="H331" t="s">
        <v>80</v>
      </c>
      <c r="I331" t="s">
        <v>68</v>
      </c>
      <c r="J331" t="s">
        <v>26</v>
      </c>
      <c r="K331" t="s">
        <v>0</v>
      </c>
      <c r="L331" t="s">
        <v>16</v>
      </c>
      <c r="M331" t="s">
        <v>44</v>
      </c>
    </row>
    <row r="332" spans="1:13" x14ac:dyDescent="0.35">
      <c r="A332" t="s">
        <v>470</v>
      </c>
      <c r="B332">
        <v>5041172082</v>
      </c>
      <c r="C332">
        <v>3869882829</v>
      </c>
      <c r="D332" t="s">
        <v>67</v>
      </c>
      <c r="E332" s="7">
        <v>147</v>
      </c>
      <c r="F332" s="7">
        <v>147</v>
      </c>
      <c r="G332" s="7">
        <v>0</v>
      </c>
      <c r="H332" t="s">
        <v>56</v>
      </c>
      <c r="I332" t="s">
        <v>419</v>
      </c>
      <c r="J332" t="s">
        <v>26</v>
      </c>
      <c r="K332" t="s">
        <v>16</v>
      </c>
      <c r="L332" t="s">
        <v>16</v>
      </c>
      <c r="M332" t="s">
        <v>17</v>
      </c>
    </row>
    <row r="333" spans="1:13" x14ac:dyDescent="0.35">
      <c r="A333" t="s">
        <v>471</v>
      </c>
      <c r="B333">
        <v>2289773378</v>
      </c>
      <c r="C333">
        <v>9177899966</v>
      </c>
      <c r="D333" t="s">
        <v>13</v>
      </c>
      <c r="E333" s="7">
        <v>423</v>
      </c>
      <c r="F333" s="7">
        <v>423</v>
      </c>
      <c r="G333" s="7">
        <v>0</v>
      </c>
      <c r="H333" t="s">
        <v>35</v>
      </c>
      <c r="I333" t="s">
        <v>144</v>
      </c>
      <c r="J333" t="s">
        <v>43</v>
      </c>
      <c r="K333" t="s">
        <v>27</v>
      </c>
      <c r="L333" t="s">
        <v>16</v>
      </c>
      <c r="M333" t="s">
        <v>51</v>
      </c>
    </row>
    <row r="334" spans="1:13" x14ac:dyDescent="0.35">
      <c r="A334" t="s">
        <v>472</v>
      </c>
      <c r="B334">
        <v>7503786621</v>
      </c>
      <c r="C334">
        <v>5258386479</v>
      </c>
      <c r="D334" t="s">
        <v>30</v>
      </c>
      <c r="E334" s="7">
        <v>129</v>
      </c>
      <c r="F334" s="7">
        <v>129</v>
      </c>
      <c r="G334" s="7">
        <v>0</v>
      </c>
      <c r="H334" t="s">
        <v>14</v>
      </c>
      <c r="I334" t="s">
        <v>378</v>
      </c>
      <c r="J334" t="s">
        <v>43</v>
      </c>
      <c r="K334" t="s">
        <v>27</v>
      </c>
      <c r="L334" t="s">
        <v>16</v>
      </c>
      <c r="M334" t="s">
        <v>126</v>
      </c>
    </row>
    <row r="335" spans="1:13" x14ac:dyDescent="0.35">
      <c r="A335" t="s">
        <v>473</v>
      </c>
      <c r="B335">
        <v>9984515919</v>
      </c>
      <c r="C335">
        <v>4829525502</v>
      </c>
      <c r="D335" t="s">
        <v>24</v>
      </c>
      <c r="E335" s="7">
        <v>328</v>
      </c>
      <c r="F335" s="7">
        <v>328</v>
      </c>
      <c r="G335" s="7">
        <v>0</v>
      </c>
      <c r="H335" t="s">
        <v>70</v>
      </c>
      <c r="I335" t="s">
        <v>138</v>
      </c>
      <c r="J335" t="s">
        <v>22</v>
      </c>
      <c r="K335" t="s">
        <v>16</v>
      </c>
      <c r="L335" t="s">
        <v>16</v>
      </c>
      <c r="M335" t="s">
        <v>17</v>
      </c>
    </row>
    <row r="336" spans="1:13" x14ac:dyDescent="0.35">
      <c r="A336" t="s">
        <v>474</v>
      </c>
      <c r="B336">
        <v>8642249236</v>
      </c>
      <c r="C336">
        <v>44728314</v>
      </c>
      <c r="D336" t="s">
        <v>30</v>
      </c>
      <c r="E336" s="7">
        <v>313</v>
      </c>
      <c r="F336" s="7">
        <v>197</v>
      </c>
      <c r="G336" s="7">
        <v>116</v>
      </c>
      <c r="H336" t="s">
        <v>99</v>
      </c>
      <c r="I336" t="s">
        <v>15</v>
      </c>
      <c r="J336" t="s">
        <v>43</v>
      </c>
      <c r="K336" t="s">
        <v>27</v>
      </c>
      <c r="L336" t="s">
        <v>894</v>
      </c>
      <c r="M336" t="s">
        <v>28</v>
      </c>
    </row>
    <row r="337" spans="1:13" x14ac:dyDescent="0.35">
      <c r="A337" t="s">
        <v>475</v>
      </c>
      <c r="B337">
        <v>80027935</v>
      </c>
      <c r="C337">
        <v>3875197604</v>
      </c>
      <c r="D337" t="s">
        <v>24</v>
      </c>
      <c r="E337" s="7">
        <v>389</v>
      </c>
      <c r="F337" s="7">
        <v>0</v>
      </c>
      <c r="G337" s="7">
        <v>389</v>
      </c>
      <c r="H337" t="s">
        <v>14</v>
      </c>
      <c r="I337" t="s">
        <v>25</v>
      </c>
      <c r="J337" t="s">
        <v>43</v>
      </c>
      <c r="K337" t="s">
        <v>27</v>
      </c>
      <c r="L337" t="s">
        <v>0</v>
      </c>
      <c r="M337" t="s">
        <v>28</v>
      </c>
    </row>
    <row r="338" spans="1:13" x14ac:dyDescent="0.35">
      <c r="A338" t="s">
        <v>476</v>
      </c>
      <c r="B338">
        <v>5979481379</v>
      </c>
      <c r="C338">
        <v>8184148716</v>
      </c>
      <c r="D338" t="s">
        <v>24</v>
      </c>
      <c r="E338" s="7">
        <v>217</v>
      </c>
      <c r="F338" s="7">
        <v>217</v>
      </c>
      <c r="G338" s="7">
        <v>0</v>
      </c>
      <c r="H338" t="s">
        <v>20</v>
      </c>
      <c r="I338" t="s">
        <v>137</v>
      </c>
      <c r="J338" t="s">
        <v>43</v>
      </c>
      <c r="K338" t="s">
        <v>16</v>
      </c>
      <c r="L338" t="s">
        <v>16</v>
      </c>
      <c r="M338" t="s">
        <v>17</v>
      </c>
    </row>
    <row r="339" spans="1:13" x14ac:dyDescent="0.35">
      <c r="A339" t="s">
        <v>477</v>
      </c>
      <c r="B339">
        <v>6059884343</v>
      </c>
      <c r="C339">
        <v>6115114048</v>
      </c>
      <c r="D339" t="s">
        <v>24</v>
      </c>
      <c r="E339" s="7">
        <v>112</v>
      </c>
      <c r="F339" s="7">
        <v>112</v>
      </c>
      <c r="G339" s="7">
        <v>0</v>
      </c>
      <c r="H339" t="s">
        <v>53</v>
      </c>
      <c r="I339" t="s">
        <v>478</v>
      </c>
      <c r="J339" t="s">
        <v>22</v>
      </c>
      <c r="K339" t="s">
        <v>16</v>
      </c>
      <c r="L339" t="s">
        <v>16</v>
      </c>
      <c r="M339" t="s">
        <v>17</v>
      </c>
    </row>
    <row r="340" spans="1:13" x14ac:dyDescent="0.35">
      <c r="A340" t="s">
        <v>479</v>
      </c>
      <c r="B340">
        <v>5081779992</v>
      </c>
      <c r="C340">
        <v>3646255868</v>
      </c>
      <c r="D340" t="s">
        <v>24</v>
      </c>
      <c r="E340" s="7">
        <v>499</v>
      </c>
      <c r="F340" s="7">
        <v>499</v>
      </c>
      <c r="G340" s="7">
        <v>0</v>
      </c>
      <c r="H340" t="s">
        <v>31</v>
      </c>
      <c r="I340" t="s">
        <v>201</v>
      </c>
      <c r="J340" t="s">
        <v>26</v>
      </c>
      <c r="K340" t="s">
        <v>16</v>
      </c>
      <c r="L340" t="s">
        <v>16</v>
      </c>
      <c r="M340" t="s">
        <v>17</v>
      </c>
    </row>
    <row r="341" spans="1:13" x14ac:dyDescent="0.35">
      <c r="A341" t="s">
        <v>480</v>
      </c>
      <c r="B341">
        <v>4109179552</v>
      </c>
      <c r="C341">
        <v>1759798705</v>
      </c>
      <c r="D341" t="s">
        <v>13</v>
      </c>
      <c r="E341" s="7">
        <v>466</v>
      </c>
      <c r="F341" s="7">
        <v>335</v>
      </c>
      <c r="G341" s="7">
        <v>131</v>
      </c>
      <c r="H341" t="s">
        <v>56</v>
      </c>
      <c r="I341" t="s">
        <v>132</v>
      </c>
      <c r="J341" t="s">
        <v>43</v>
      </c>
      <c r="K341" t="s">
        <v>27</v>
      </c>
      <c r="L341" t="s">
        <v>894</v>
      </c>
      <c r="M341" t="s">
        <v>55</v>
      </c>
    </row>
    <row r="342" spans="1:13" x14ac:dyDescent="0.35">
      <c r="A342" t="s">
        <v>481</v>
      </c>
      <c r="B342">
        <v>9633320114</v>
      </c>
      <c r="C342">
        <v>1262446957</v>
      </c>
      <c r="D342" t="s">
        <v>24</v>
      </c>
      <c r="E342" s="7">
        <v>427</v>
      </c>
      <c r="F342" s="7">
        <v>427</v>
      </c>
      <c r="G342" s="7">
        <v>0</v>
      </c>
      <c r="H342" t="s">
        <v>70</v>
      </c>
      <c r="I342" t="s">
        <v>116</v>
      </c>
      <c r="J342" t="s">
        <v>26</v>
      </c>
      <c r="K342" t="s">
        <v>0</v>
      </c>
      <c r="L342" t="s">
        <v>16</v>
      </c>
      <c r="M342" t="s">
        <v>51</v>
      </c>
    </row>
    <row r="343" spans="1:13" x14ac:dyDescent="0.35">
      <c r="A343" t="s">
        <v>482</v>
      </c>
      <c r="B343">
        <v>3400328270</v>
      </c>
      <c r="C343">
        <v>4513696161</v>
      </c>
      <c r="D343" t="s">
        <v>19</v>
      </c>
      <c r="E343" s="7">
        <v>221</v>
      </c>
      <c r="F343" s="7">
        <v>221</v>
      </c>
      <c r="G343" s="7">
        <v>0</v>
      </c>
      <c r="H343" t="s">
        <v>80</v>
      </c>
      <c r="I343" t="s">
        <v>231</v>
      </c>
      <c r="J343" t="s">
        <v>43</v>
      </c>
      <c r="K343" t="s">
        <v>16</v>
      </c>
      <c r="L343" t="s">
        <v>16</v>
      </c>
      <c r="M343" t="s">
        <v>17</v>
      </c>
    </row>
    <row r="344" spans="1:13" x14ac:dyDescent="0.35">
      <c r="A344" t="s">
        <v>483</v>
      </c>
      <c r="B344">
        <v>8231751172</v>
      </c>
      <c r="C344">
        <v>9491630699</v>
      </c>
      <c r="D344" t="s">
        <v>19</v>
      </c>
      <c r="E344" s="7">
        <v>183</v>
      </c>
      <c r="F344" s="7">
        <v>183</v>
      </c>
      <c r="G344" s="7">
        <v>0</v>
      </c>
      <c r="H344" t="s">
        <v>70</v>
      </c>
      <c r="I344" t="s">
        <v>155</v>
      </c>
      <c r="J344" t="s">
        <v>26</v>
      </c>
      <c r="K344" t="s">
        <v>27</v>
      </c>
      <c r="L344" t="s">
        <v>16</v>
      </c>
      <c r="M344" t="s">
        <v>33</v>
      </c>
    </row>
    <row r="345" spans="1:13" x14ac:dyDescent="0.35">
      <c r="A345" t="s">
        <v>484</v>
      </c>
      <c r="B345">
        <v>2517603074</v>
      </c>
      <c r="C345">
        <v>6649887248</v>
      </c>
      <c r="D345" t="s">
        <v>30</v>
      </c>
      <c r="E345" s="7">
        <v>432</v>
      </c>
      <c r="F345" s="7">
        <v>0</v>
      </c>
      <c r="G345" s="7">
        <v>432</v>
      </c>
      <c r="H345" t="s">
        <v>14</v>
      </c>
      <c r="I345" t="s">
        <v>57</v>
      </c>
      <c r="J345" t="s">
        <v>26</v>
      </c>
      <c r="K345" t="s">
        <v>27</v>
      </c>
      <c r="L345" t="s">
        <v>0</v>
      </c>
      <c r="M345" t="s">
        <v>126</v>
      </c>
    </row>
    <row r="346" spans="1:13" x14ac:dyDescent="0.35">
      <c r="A346" t="s">
        <v>485</v>
      </c>
      <c r="B346">
        <v>1177525801</v>
      </c>
      <c r="C346">
        <v>1413064849</v>
      </c>
      <c r="D346" t="s">
        <v>19</v>
      </c>
      <c r="E346" s="7">
        <v>389</v>
      </c>
      <c r="F346" s="7">
        <v>389</v>
      </c>
      <c r="G346" s="7">
        <v>0</v>
      </c>
      <c r="H346" t="s">
        <v>38</v>
      </c>
      <c r="I346" t="s">
        <v>96</v>
      </c>
      <c r="J346" t="s">
        <v>22</v>
      </c>
      <c r="K346" t="s">
        <v>16</v>
      </c>
      <c r="L346" t="s">
        <v>16</v>
      </c>
      <c r="M346" t="s">
        <v>17</v>
      </c>
    </row>
    <row r="347" spans="1:13" x14ac:dyDescent="0.35">
      <c r="A347" t="s">
        <v>486</v>
      </c>
      <c r="B347">
        <v>5275079933</v>
      </c>
      <c r="C347">
        <v>9125823440</v>
      </c>
      <c r="D347" t="s">
        <v>30</v>
      </c>
      <c r="E347" s="7">
        <v>471</v>
      </c>
      <c r="F347" s="7">
        <v>0</v>
      </c>
      <c r="G347" s="7">
        <v>471</v>
      </c>
      <c r="H347" t="s">
        <v>35</v>
      </c>
      <c r="I347" t="s">
        <v>96</v>
      </c>
      <c r="J347" t="s">
        <v>22</v>
      </c>
      <c r="K347" t="s">
        <v>27</v>
      </c>
      <c r="L347" t="s">
        <v>0</v>
      </c>
      <c r="M347" t="s">
        <v>58</v>
      </c>
    </row>
    <row r="348" spans="1:13" x14ac:dyDescent="0.35">
      <c r="A348" t="s">
        <v>487</v>
      </c>
      <c r="B348">
        <v>1000791828</v>
      </c>
      <c r="C348">
        <v>4647551760</v>
      </c>
      <c r="D348" t="s">
        <v>30</v>
      </c>
      <c r="E348" s="7">
        <v>215</v>
      </c>
      <c r="F348" s="7">
        <v>215</v>
      </c>
      <c r="G348" s="7">
        <v>0</v>
      </c>
      <c r="H348" t="s">
        <v>14</v>
      </c>
      <c r="I348" t="s">
        <v>78</v>
      </c>
      <c r="J348" t="s">
        <v>22</v>
      </c>
      <c r="K348" t="s">
        <v>16</v>
      </c>
      <c r="L348" t="s">
        <v>16</v>
      </c>
      <c r="M348" t="s">
        <v>17</v>
      </c>
    </row>
    <row r="349" spans="1:13" x14ac:dyDescent="0.35">
      <c r="A349" t="s">
        <v>488</v>
      </c>
      <c r="B349">
        <v>9313170292</v>
      </c>
      <c r="C349">
        <v>7021396669</v>
      </c>
      <c r="D349" t="s">
        <v>30</v>
      </c>
      <c r="E349" s="7">
        <v>104</v>
      </c>
      <c r="F349" s="7">
        <v>0</v>
      </c>
      <c r="G349" s="7">
        <v>104</v>
      </c>
      <c r="H349" t="s">
        <v>56</v>
      </c>
      <c r="I349" t="s">
        <v>157</v>
      </c>
      <c r="J349" t="s">
        <v>26</v>
      </c>
      <c r="K349" t="s">
        <v>27</v>
      </c>
      <c r="L349" t="s">
        <v>0</v>
      </c>
      <c r="M349" t="s">
        <v>33</v>
      </c>
    </row>
    <row r="350" spans="1:13" x14ac:dyDescent="0.35">
      <c r="A350" t="s">
        <v>489</v>
      </c>
      <c r="B350">
        <v>6457966423</v>
      </c>
      <c r="C350">
        <v>5496281415</v>
      </c>
      <c r="D350" t="s">
        <v>30</v>
      </c>
      <c r="E350" s="7">
        <v>487</v>
      </c>
      <c r="F350" s="7">
        <v>487</v>
      </c>
      <c r="G350" s="7">
        <v>0</v>
      </c>
      <c r="H350" t="s">
        <v>14</v>
      </c>
      <c r="I350" t="s">
        <v>76</v>
      </c>
      <c r="J350" t="s">
        <v>26</v>
      </c>
      <c r="K350" t="s">
        <v>16</v>
      </c>
      <c r="L350" t="s">
        <v>16</v>
      </c>
      <c r="M350" t="s">
        <v>17</v>
      </c>
    </row>
    <row r="351" spans="1:13" x14ac:dyDescent="0.35">
      <c r="A351" t="s">
        <v>490</v>
      </c>
      <c r="B351">
        <v>9857312878</v>
      </c>
      <c r="C351">
        <v>3579493244</v>
      </c>
      <c r="D351" t="s">
        <v>13</v>
      </c>
      <c r="E351" s="7">
        <v>433</v>
      </c>
      <c r="F351" s="7">
        <v>433</v>
      </c>
      <c r="G351" s="7">
        <v>0</v>
      </c>
      <c r="H351" t="s">
        <v>38</v>
      </c>
      <c r="I351" t="s">
        <v>137</v>
      </c>
      <c r="J351" t="s">
        <v>22</v>
      </c>
      <c r="K351" t="s">
        <v>27</v>
      </c>
      <c r="L351" t="s">
        <v>16</v>
      </c>
      <c r="M351" t="s">
        <v>55</v>
      </c>
    </row>
    <row r="352" spans="1:13" x14ac:dyDescent="0.35">
      <c r="A352" t="s">
        <v>491</v>
      </c>
      <c r="B352">
        <v>1543048755</v>
      </c>
      <c r="C352">
        <v>86980668</v>
      </c>
      <c r="D352" t="s">
        <v>19</v>
      </c>
      <c r="E352" s="7">
        <v>430</v>
      </c>
      <c r="F352" s="7">
        <v>430</v>
      </c>
      <c r="G352" s="7">
        <v>0</v>
      </c>
      <c r="H352" t="s">
        <v>31</v>
      </c>
      <c r="I352" t="s">
        <v>251</v>
      </c>
      <c r="J352" t="s">
        <v>26</v>
      </c>
      <c r="K352" t="s">
        <v>27</v>
      </c>
      <c r="L352" t="s">
        <v>16</v>
      </c>
      <c r="M352" t="s">
        <v>28</v>
      </c>
    </row>
    <row r="353" spans="1:13" x14ac:dyDescent="0.35">
      <c r="A353" t="s">
        <v>492</v>
      </c>
      <c r="B353">
        <v>3839767585</v>
      </c>
      <c r="C353">
        <v>5251136819</v>
      </c>
      <c r="D353" t="s">
        <v>24</v>
      </c>
      <c r="E353" s="7">
        <v>278</v>
      </c>
      <c r="F353" s="7">
        <v>278</v>
      </c>
      <c r="G353" s="7">
        <v>0</v>
      </c>
      <c r="H353" t="s">
        <v>56</v>
      </c>
      <c r="I353" t="s">
        <v>74</v>
      </c>
      <c r="J353" t="s">
        <v>22</v>
      </c>
      <c r="K353" t="s">
        <v>16</v>
      </c>
      <c r="L353" t="s">
        <v>16</v>
      </c>
      <c r="M353" t="s">
        <v>17</v>
      </c>
    </row>
    <row r="354" spans="1:13" x14ac:dyDescent="0.35">
      <c r="A354" t="s">
        <v>493</v>
      </c>
      <c r="B354">
        <v>9101127396</v>
      </c>
      <c r="C354">
        <v>9806417639</v>
      </c>
      <c r="D354" t="s">
        <v>24</v>
      </c>
      <c r="E354" s="7">
        <v>246</v>
      </c>
      <c r="F354" s="7">
        <v>246</v>
      </c>
      <c r="G354" s="7">
        <v>0</v>
      </c>
      <c r="H354" t="s">
        <v>31</v>
      </c>
      <c r="I354" t="s">
        <v>494</v>
      </c>
      <c r="J354" t="s">
        <v>22</v>
      </c>
      <c r="K354" t="s">
        <v>16</v>
      </c>
      <c r="L354" t="s">
        <v>16</v>
      </c>
      <c r="M354" t="s">
        <v>17</v>
      </c>
    </row>
    <row r="355" spans="1:13" x14ac:dyDescent="0.35">
      <c r="A355" t="s">
        <v>495</v>
      </c>
      <c r="B355">
        <v>4939816976</v>
      </c>
      <c r="C355">
        <v>1913580617</v>
      </c>
      <c r="D355" t="s">
        <v>24</v>
      </c>
      <c r="E355" s="7">
        <v>108</v>
      </c>
      <c r="F355" s="7">
        <v>108</v>
      </c>
      <c r="G355" s="7">
        <v>0</v>
      </c>
      <c r="H355" t="s">
        <v>53</v>
      </c>
      <c r="I355" t="s">
        <v>246</v>
      </c>
      <c r="J355" t="s">
        <v>26</v>
      </c>
      <c r="K355" t="s">
        <v>16</v>
      </c>
      <c r="L355" t="s">
        <v>16</v>
      </c>
      <c r="M355" t="s">
        <v>17</v>
      </c>
    </row>
    <row r="356" spans="1:13" x14ac:dyDescent="0.35">
      <c r="A356" t="s">
        <v>496</v>
      </c>
      <c r="B356">
        <v>8227606723</v>
      </c>
      <c r="C356">
        <v>3356750817</v>
      </c>
      <c r="D356" t="s">
        <v>13</v>
      </c>
      <c r="E356" s="7">
        <v>422</v>
      </c>
      <c r="F356" s="7">
        <v>0</v>
      </c>
      <c r="G356" s="7">
        <v>422</v>
      </c>
      <c r="H356" t="s">
        <v>20</v>
      </c>
      <c r="I356" t="s">
        <v>201</v>
      </c>
      <c r="J356" t="s">
        <v>22</v>
      </c>
      <c r="K356" t="s">
        <v>0</v>
      </c>
      <c r="L356" t="s">
        <v>0</v>
      </c>
      <c r="M356" t="s">
        <v>44</v>
      </c>
    </row>
    <row r="357" spans="1:13" x14ac:dyDescent="0.35">
      <c r="A357" t="s">
        <v>497</v>
      </c>
      <c r="B357">
        <v>6219754963</v>
      </c>
      <c r="C357">
        <v>9125093388</v>
      </c>
      <c r="D357" t="s">
        <v>24</v>
      </c>
      <c r="E357" s="7">
        <v>139</v>
      </c>
      <c r="F357" s="7">
        <v>139</v>
      </c>
      <c r="G357" s="7">
        <v>0</v>
      </c>
      <c r="H357" t="s">
        <v>70</v>
      </c>
      <c r="I357" t="s">
        <v>246</v>
      </c>
      <c r="J357" t="s">
        <v>22</v>
      </c>
      <c r="K357" t="s">
        <v>16</v>
      </c>
      <c r="L357" t="s">
        <v>16</v>
      </c>
      <c r="M357" t="s">
        <v>17</v>
      </c>
    </row>
    <row r="358" spans="1:13" x14ac:dyDescent="0.35">
      <c r="A358" t="s">
        <v>498</v>
      </c>
      <c r="B358">
        <v>422783582</v>
      </c>
      <c r="C358">
        <v>950595876</v>
      </c>
      <c r="D358" t="s">
        <v>67</v>
      </c>
      <c r="E358" s="7">
        <v>224</v>
      </c>
      <c r="F358" s="7">
        <v>224</v>
      </c>
      <c r="G358" s="7">
        <v>0</v>
      </c>
      <c r="H358" t="s">
        <v>38</v>
      </c>
      <c r="I358" t="s">
        <v>100</v>
      </c>
      <c r="J358" t="s">
        <v>43</v>
      </c>
      <c r="K358" t="s">
        <v>16</v>
      </c>
      <c r="L358" t="s">
        <v>16</v>
      </c>
      <c r="M358" t="s">
        <v>17</v>
      </c>
    </row>
    <row r="359" spans="1:13" x14ac:dyDescent="0.35">
      <c r="A359" t="s">
        <v>499</v>
      </c>
      <c r="B359">
        <v>5114736504</v>
      </c>
      <c r="C359">
        <v>9947707227</v>
      </c>
      <c r="D359" t="s">
        <v>24</v>
      </c>
      <c r="E359" s="7">
        <v>121</v>
      </c>
      <c r="F359" s="7">
        <v>80</v>
      </c>
      <c r="G359" s="7">
        <v>41</v>
      </c>
      <c r="H359" t="s">
        <v>35</v>
      </c>
      <c r="I359" t="s">
        <v>90</v>
      </c>
      <c r="J359" t="s">
        <v>43</v>
      </c>
      <c r="K359" t="s">
        <v>27</v>
      </c>
      <c r="L359" t="s">
        <v>894</v>
      </c>
      <c r="M359" t="s">
        <v>58</v>
      </c>
    </row>
    <row r="360" spans="1:13" x14ac:dyDescent="0.35">
      <c r="A360" t="s">
        <v>500</v>
      </c>
      <c r="B360">
        <v>1364793503</v>
      </c>
      <c r="C360">
        <v>5493435452</v>
      </c>
      <c r="D360" t="s">
        <v>30</v>
      </c>
      <c r="E360" s="7">
        <v>160</v>
      </c>
      <c r="F360" s="7">
        <v>124</v>
      </c>
      <c r="G360" s="7">
        <v>36</v>
      </c>
      <c r="H360" t="s">
        <v>20</v>
      </c>
      <c r="I360" t="s">
        <v>142</v>
      </c>
      <c r="J360" t="s">
        <v>43</v>
      </c>
      <c r="K360" t="s">
        <v>27</v>
      </c>
      <c r="L360" t="s">
        <v>894</v>
      </c>
      <c r="M360" t="s">
        <v>28</v>
      </c>
    </row>
    <row r="361" spans="1:13" x14ac:dyDescent="0.35">
      <c r="A361" t="s">
        <v>501</v>
      </c>
      <c r="B361">
        <v>5433826796</v>
      </c>
      <c r="C361">
        <v>6391556886</v>
      </c>
      <c r="D361" t="s">
        <v>30</v>
      </c>
      <c r="E361" s="7">
        <v>328</v>
      </c>
      <c r="F361" s="7">
        <v>328</v>
      </c>
      <c r="G361" s="7">
        <v>0</v>
      </c>
      <c r="H361" t="s">
        <v>99</v>
      </c>
      <c r="I361" t="s">
        <v>65</v>
      </c>
      <c r="J361" t="s">
        <v>22</v>
      </c>
      <c r="K361" t="s">
        <v>0</v>
      </c>
      <c r="L361" t="s">
        <v>16</v>
      </c>
      <c r="M361" t="s">
        <v>28</v>
      </c>
    </row>
    <row r="362" spans="1:13" x14ac:dyDescent="0.35">
      <c r="A362" t="s">
        <v>502</v>
      </c>
      <c r="B362">
        <v>173366658</v>
      </c>
      <c r="C362">
        <v>129742605</v>
      </c>
      <c r="D362" t="s">
        <v>13</v>
      </c>
      <c r="E362" s="7">
        <v>324</v>
      </c>
      <c r="F362" s="7">
        <v>324</v>
      </c>
      <c r="G362" s="7">
        <v>0</v>
      </c>
      <c r="H362" t="s">
        <v>53</v>
      </c>
      <c r="I362" t="s">
        <v>88</v>
      </c>
      <c r="J362" t="s">
        <v>26</v>
      </c>
      <c r="K362" t="s">
        <v>27</v>
      </c>
      <c r="L362" t="s">
        <v>16</v>
      </c>
      <c r="M362" t="s">
        <v>51</v>
      </c>
    </row>
    <row r="363" spans="1:13" x14ac:dyDescent="0.35">
      <c r="A363" t="s">
        <v>503</v>
      </c>
      <c r="B363">
        <v>3028915125</v>
      </c>
      <c r="C363">
        <v>8372279271</v>
      </c>
      <c r="D363" t="s">
        <v>13</v>
      </c>
      <c r="E363" s="7">
        <v>105</v>
      </c>
      <c r="F363" s="7">
        <v>105</v>
      </c>
      <c r="G363" s="7">
        <v>0</v>
      </c>
      <c r="H363" t="s">
        <v>14</v>
      </c>
      <c r="I363" t="s">
        <v>314</v>
      </c>
      <c r="J363" t="s">
        <v>22</v>
      </c>
      <c r="K363" t="s">
        <v>0</v>
      </c>
      <c r="L363" t="s">
        <v>16</v>
      </c>
      <c r="M363" t="s">
        <v>33</v>
      </c>
    </row>
    <row r="364" spans="1:13" x14ac:dyDescent="0.35">
      <c r="A364" t="s">
        <v>504</v>
      </c>
      <c r="B364">
        <v>1397662884</v>
      </c>
      <c r="C364">
        <v>2150019938</v>
      </c>
      <c r="D364" t="s">
        <v>19</v>
      </c>
      <c r="E364" s="7">
        <v>381</v>
      </c>
      <c r="F364" s="7">
        <v>381</v>
      </c>
      <c r="G364" s="7">
        <v>0</v>
      </c>
      <c r="H364" t="s">
        <v>31</v>
      </c>
      <c r="I364" t="s">
        <v>110</v>
      </c>
      <c r="J364" t="s">
        <v>22</v>
      </c>
      <c r="K364" t="s">
        <v>0</v>
      </c>
      <c r="L364" t="s">
        <v>16</v>
      </c>
      <c r="M364" t="s">
        <v>40</v>
      </c>
    </row>
    <row r="365" spans="1:13" x14ac:dyDescent="0.35">
      <c r="A365" t="s">
        <v>505</v>
      </c>
      <c r="B365">
        <v>4991942669</v>
      </c>
      <c r="C365">
        <v>7985224401</v>
      </c>
      <c r="D365" t="s">
        <v>13</v>
      </c>
      <c r="E365" s="7">
        <v>389</v>
      </c>
      <c r="F365" s="7">
        <v>389</v>
      </c>
      <c r="G365" s="7">
        <v>0</v>
      </c>
      <c r="H365" t="s">
        <v>31</v>
      </c>
      <c r="I365" t="s">
        <v>48</v>
      </c>
      <c r="J365" t="s">
        <v>43</v>
      </c>
      <c r="K365" t="s">
        <v>0</v>
      </c>
      <c r="L365" t="s">
        <v>16</v>
      </c>
      <c r="M365" t="s">
        <v>51</v>
      </c>
    </row>
    <row r="366" spans="1:13" x14ac:dyDescent="0.35">
      <c r="A366" t="s">
        <v>506</v>
      </c>
      <c r="B366">
        <v>4352673439</v>
      </c>
      <c r="C366">
        <v>7929503314</v>
      </c>
      <c r="D366" t="s">
        <v>13</v>
      </c>
      <c r="E366" s="7">
        <v>116</v>
      </c>
      <c r="F366" s="7">
        <v>116</v>
      </c>
      <c r="G366" s="7">
        <v>0</v>
      </c>
      <c r="H366" t="s">
        <v>99</v>
      </c>
      <c r="I366" t="s">
        <v>183</v>
      </c>
      <c r="J366" t="s">
        <v>22</v>
      </c>
      <c r="K366" t="s">
        <v>16</v>
      </c>
      <c r="L366" t="s">
        <v>16</v>
      </c>
      <c r="M366" t="s">
        <v>17</v>
      </c>
    </row>
    <row r="367" spans="1:13" x14ac:dyDescent="0.35">
      <c r="A367" t="s">
        <v>507</v>
      </c>
      <c r="B367">
        <v>5294210836</v>
      </c>
      <c r="C367">
        <v>2966803804</v>
      </c>
      <c r="D367" t="s">
        <v>30</v>
      </c>
      <c r="E367" s="7">
        <v>285</v>
      </c>
      <c r="F367" s="7">
        <v>285</v>
      </c>
      <c r="G367" s="7">
        <v>0</v>
      </c>
      <c r="H367" t="s">
        <v>56</v>
      </c>
      <c r="I367" t="s">
        <v>231</v>
      </c>
      <c r="J367" t="s">
        <v>26</v>
      </c>
      <c r="K367" t="s">
        <v>0</v>
      </c>
      <c r="L367" t="s">
        <v>16</v>
      </c>
      <c r="M367" t="s">
        <v>126</v>
      </c>
    </row>
    <row r="368" spans="1:13" x14ac:dyDescent="0.35">
      <c r="A368" t="s">
        <v>508</v>
      </c>
      <c r="B368">
        <v>1568063851</v>
      </c>
      <c r="C368">
        <v>8078768351</v>
      </c>
      <c r="D368" t="s">
        <v>19</v>
      </c>
      <c r="E368" s="7">
        <v>119</v>
      </c>
      <c r="F368" s="7">
        <v>119</v>
      </c>
      <c r="G368" s="7">
        <v>0</v>
      </c>
      <c r="H368" t="s">
        <v>31</v>
      </c>
      <c r="I368" t="s">
        <v>72</v>
      </c>
      <c r="J368" t="s">
        <v>43</v>
      </c>
      <c r="K368" t="s">
        <v>16</v>
      </c>
      <c r="L368" t="s">
        <v>16</v>
      </c>
      <c r="M368" t="s">
        <v>17</v>
      </c>
    </row>
    <row r="369" spans="1:13" x14ac:dyDescent="0.35">
      <c r="A369" t="s">
        <v>509</v>
      </c>
      <c r="B369">
        <v>2962998721</v>
      </c>
      <c r="C369">
        <v>7531354213</v>
      </c>
      <c r="D369" t="s">
        <v>67</v>
      </c>
      <c r="E369" s="7">
        <v>499</v>
      </c>
      <c r="F369" s="7">
        <v>0</v>
      </c>
      <c r="G369" s="7">
        <v>499</v>
      </c>
      <c r="H369" t="s">
        <v>20</v>
      </c>
      <c r="I369" t="s">
        <v>494</v>
      </c>
      <c r="J369" t="s">
        <v>22</v>
      </c>
      <c r="K369" t="s">
        <v>27</v>
      </c>
      <c r="L369" t="s">
        <v>0</v>
      </c>
      <c r="M369" t="s">
        <v>126</v>
      </c>
    </row>
    <row r="370" spans="1:13" x14ac:dyDescent="0.35">
      <c r="A370" t="s">
        <v>510</v>
      </c>
      <c r="B370">
        <v>7180728894</v>
      </c>
      <c r="C370">
        <v>3179271995</v>
      </c>
      <c r="D370" t="s">
        <v>24</v>
      </c>
      <c r="E370" s="7">
        <v>184</v>
      </c>
      <c r="F370" s="7">
        <v>184</v>
      </c>
      <c r="G370" s="7">
        <v>0</v>
      </c>
      <c r="H370" t="s">
        <v>56</v>
      </c>
      <c r="I370" t="s">
        <v>114</v>
      </c>
      <c r="J370" t="s">
        <v>22</v>
      </c>
      <c r="K370" t="s">
        <v>16</v>
      </c>
      <c r="L370" t="s">
        <v>16</v>
      </c>
      <c r="M370" t="s">
        <v>17</v>
      </c>
    </row>
    <row r="371" spans="1:13" x14ac:dyDescent="0.35">
      <c r="A371" t="s">
        <v>511</v>
      </c>
      <c r="B371">
        <v>9466012917</v>
      </c>
      <c r="C371">
        <v>6958399478</v>
      </c>
      <c r="D371" t="s">
        <v>24</v>
      </c>
      <c r="E371" s="7">
        <v>142</v>
      </c>
      <c r="F371" s="7">
        <v>142</v>
      </c>
      <c r="G371" s="7">
        <v>0</v>
      </c>
      <c r="H371" t="s">
        <v>53</v>
      </c>
      <c r="I371" t="s">
        <v>83</v>
      </c>
      <c r="J371" t="s">
        <v>26</v>
      </c>
      <c r="K371" t="s">
        <v>27</v>
      </c>
      <c r="L371" t="s">
        <v>16</v>
      </c>
      <c r="M371" t="s">
        <v>126</v>
      </c>
    </row>
    <row r="372" spans="1:13" x14ac:dyDescent="0.35">
      <c r="A372" t="s">
        <v>512</v>
      </c>
      <c r="B372">
        <v>5742042440</v>
      </c>
      <c r="C372">
        <v>2298317369</v>
      </c>
      <c r="D372" t="s">
        <v>30</v>
      </c>
      <c r="E372" s="7">
        <v>472</v>
      </c>
      <c r="F372" s="7">
        <v>264</v>
      </c>
      <c r="G372" s="7">
        <v>208</v>
      </c>
      <c r="H372" t="s">
        <v>56</v>
      </c>
      <c r="I372" t="s">
        <v>117</v>
      </c>
      <c r="J372" t="s">
        <v>43</v>
      </c>
      <c r="K372" t="s">
        <v>27</v>
      </c>
      <c r="L372" t="s">
        <v>894</v>
      </c>
      <c r="M372" t="s">
        <v>28</v>
      </c>
    </row>
    <row r="373" spans="1:13" x14ac:dyDescent="0.35">
      <c r="A373" t="s">
        <v>513</v>
      </c>
      <c r="B373">
        <v>4268514705</v>
      </c>
      <c r="C373">
        <v>3611486014</v>
      </c>
      <c r="D373" t="s">
        <v>67</v>
      </c>
      <c r="E373" s="7">
        <v>380</v>
      </c>
      <c r="F373" s="7">
        <v>380</v>
      </c>
      <c r="G373" s="7">
        <v>0</v>
      </c>
      <c r="H373" t="s">
        <v>38</v>
      </c>
      <c r="I373" t="s">
        <v>36</v>
      </c>
      <c r="J373" t="s">
        <v>26</v>
      </c>
      <c r="K373" t="s">
        <v>27</v>
      </c>
      <c r="L373" t="s">
        <v>16</v>
      </c>
      <c r="M373" t="s">
        <v>44</v>
      </c>
    </row>
    <row r="374" spans="1:13" x14ac:dyDescent="0.35">
      <c r="A374" t="s">
        <v>514</v>
      </c>
      <c r="B374">
        <v>8367487496</v>
      </c>
      <c r="C374">
        <v>6709616698</v>
      </c>
      <c r="D374" t="s">
        <v>13</v>
      </c>
      <c r="E374" s="7">
        <v>380</v>
      </c>
      <c r="F374" s="7">
        <v>380</v>
      </c>
      <c r="G374" s="7">
        <v>0</v>
      </c>
      <c r="H374" t="s">
        <v>20</v>
      </c>
      <c r="I374" t="s">
        <v>215</v>
      </c>
      <c r="J374" t="s">
        <v>26</v>
      </c>
      <c r="K374" t="s">
        <v>16</v>
      </c>
      <c r="L374" t="s">
        <v>16</v>
      </c>
      <c r="M374" t="s">
        <v>17</v>
      </c>
    </row>
    <row r="375" spans="1:13" x14ac:dyDescent="0.35">
      <c r="A375" t="s">
        <v>515</v>
      </c>
      <c r="B375">
        <v>6629273545</v>
      </c>
      <c r="C375">
        <v>4086009168</v>
      </c>
      <c r="D375" t="s">
        <v>19</v>
      </c>
      <c r="E375" s="7">
        <v>163</v>
      </c>
      <c r="F375" s="7">
        <v>163</v>
      </c>
      <c r="G375" s="7">
        <v>0</v>
      </c>
      <c r="H375" t="s">
        <v>70</v>
      </c>
      <c r="I375" t="s">
        <v>71</v>
      </c>
      <c r="J375" t="s">
        <v>26</v>
      </c>
      <c r="K375" t="s">
        <v>27</v>
      </c>
      <c r="L375" t="s">
        <v>16</v>
      </c>
      <c r="M375" t="s">
        <v>126</v>
      </c>
    </row>
    <row r="376" spans="1:13" x14ac:dyDescent="0.35">
      <c r="A376" t="s">
        <v>516</v>
      </c>
      <c r="B376">
        <v>9019802849</v>
      </c>
      <c r="C376">
        <v>8854510199</v>
      </c>
      <c r="D376" t="s">
        <v>24</v>
      </c>
      <c r="E376" s="7">
        <v>316</v>
      </c>
      <c r="F376" s="7">
        <v>0</v>
      </c>
      <c r="G376" s="7">
        <v>316</v>
      </c>
      <c r="H376" t="s">
        <v>80</v>
      </c>
      <c r="I376" t="s">
        <v>235</v>
      </c>
      <c r="J376" t="s">
        <v>26</v>
      </c>
      <c r="K376" t="s">
        <v>27</v>
      </c>
      <c r="L376" t="s">
        <v>0</v>
      </c>
      <c r="M376" t="s">
        <v>58</v>
      </c>
    </row>
    <row r="377" spans="1:13" x14ac:dyDescent="0.35">
      <c r="A377" t="s">
        <v>517</v>
      </c>
      <c r="B377">
        <v>1530590884</v>
      </c>
      <c r="C377">
        <v>2960642947</v>
      </c>
      <c r="D377" t="s">
        <v>30</v>
      </c>
      <c r="E377" s="7">
        <v>400</v>
      </c>
      <c r="F377" s="7">
        <v>0</v>
      </c>
      <c r="G377" s="7">
        <v>400</v>
      </c>
      <c r="H377" t="s">
        <v>38</v>
      </c>
      <c r="I377" t="s">
        <v>237</v>
      </c>
      <c r="J377" t="s">
        <v>26</v>
      </c>
      <c r="K377" t="s">
        <v>27</v>
      </c>
      <c r="L377" t="s">
        <v>0</v>
      </c>
      <c r="M377" t="s">
        <v>58</v>
      </c>
    </row>
    <row r="378" spans="1:13" x14ac:dyDescent="0.35">
      <c r="A378" t="s">
        <v>518</v>
      </c>
      <c r="B378">
        <v>2613598620</v>
      </c>
      <c r="C378">
        <v>9958249801</v>
      </c>
      <c r="D378" t="s">
        <v>67</v>
      </c>
      <c r="E378" s="7">
        <v>410</v>
      </c>
      <c r="F378" s="7">
        <v>410</v>
      </c>
      <c r="G378" s="7">
        <v>0</v>
      </c>
      <c r="H378" t="s">
        <v>35</v>
      </c>
      <c r="I378" t="s">
        <v>231</v>
      </c>
      <c r="J378" t="s">
        <v>26</v>
      </c>
      <c r="K378" t="s">
        <v>0</v>
      </c>
      <c r="L378" t="s">
        <v>16</v>
      </c>
      <c r="M378" t="s">
        <v>55</v>
      </c>
    </row>
    <row r="379" spans="1:13" x14ac:dyDescent="0.35">
      <c r="A379" t="s">
        <v>519</v>
      </c>
      <c r="B379">
        <v>7010381732</v>
      </c>
      <c r="C379">
        <v>7056840684</v>
      </c>
      <c r="D379" t="s">
        <v>24</v>
      </c>
      <c r="E379" s="7">
        <v>350</v>
      </c>
      <c r="F379" s="7">
        <v>350</v>
      </c>
      <c r="G379" s="7">
        <v>0</v>
      </c>
      <c r="H379" t="s">
        <v>80</v>
      </c>
      <c r="I379" t="s">
        <v>259</v>
      </c>
      <c r="J379" t="s">
        <v>43</v>
      </c>
      <c r="K379" t="s">
        <v>16</v>
      </c>
      <c r="L379" t="s">
        <v>16</v>
      </c>
      <c r="M379" t="s">
        <v>17</v>
      </c>
    </row>
    <row r="380" spans="1:13" x14ac:dyDescent="0.35">
      <c r="A380" t="s">
        <v>520</v>
      </c>
      <c r="B380">
        <v>2802257045</v>
      </c>
      <c r="C380">
        <v>4481400194</v>
      </c>
      <c r="D380" t="s">
        <v>30</v>
      </c>
      <c r="E380" s="7">
        <v>131</v>
      </c>
      <c r="F380" s="7">
        <v>131</v>
      </c>
      <c r="G380" s="7">
        <v>0</v>
      </c>
      <c r="H380" t="s">
        <v>38</v>
      </c>
      <c r="I380" t="s">
        <v>85</v>
      </c>
      <c r="J380" t="s">
        <v>22</v>
      </c>
      <c r="K380" t="s">
        <v>16</v>
      </c>
      <c r="L380" t="s">
        <v>16</v>
      </c>
      <c r="M380" t="s">
        <v>17</v>
      </c>
    </row>
    <row r="381" spans="1:13" x14ac:dyDescent="0.35">
      <c r="A381" t="s">
        <v>521</v>
      </c>
      <c r="B381">
        <v>4100457593</v>
      </c>
      <c r="C381">
        <v>2187680072</v>
      </c>
      <c r="D381" t="s">
        <v>24</v>
      </c>
      <c r="E381" s="7">
        <v>101</v>
      </c>
      <c r="F381" s="7">
        <v>0</v>
      </c>
      <c r="G381" s="7">
        <v>101</v>
      </c>
      <c r="H381" t="s">
        <v>70</v>
      </c>
      <c r="I381" t="s">
        <v>137</v>
      </c>
      <c r="J381" t="s">
        <v>26</v>
      </c>
      <c r="K381" t="s">
        <v>27</v>
      </c>
      <c r="L381" t="s">
        <v>0</v>
      </c>
      <c r="M381" t="s">
        <v>44</v>
      </c>
    </row>
    <row r="382" spans="1:13" x14ac:dyDescent="0.35">
      <c r="A382" t="s">
        <v>522</v>
      </c>
      <c r="B382">
        <v>9828261974</v>
      </c>
      <c r="C382">
        <v>1101477666</v>
      </c>
      <c r="D382" t="s">
        <v>19</v>
      </c>
      <c r="E382" s="7">
        <v>449</v>
      </c>
      <c r="F382" s="7">
        <v>449</v>
      </c>
      <c r="G382" s="7">
        <v>0</v>
      </c>
      <c r="H382" t="s">
        <v>14</v>
      </c>
      <c r="I382" t="s">
        <v>76</v>
      </c>
      <c r="J382" t="s">
        <v>43</v>
      </c>
      <c r="K382" t="s">
        <v>16</v>
      </c>
      <c r="L382" t="s">
        <v>16</v>
      </c>
      <c r="M382" t="s">
        <v>17</v>
      </c>
    </row>
    <row r="383" spans="1:13" x14ac:dyDescent="0.35">
      <c r="A383" t="s">
        <v>523</v>
      </c>
      <c r="B383">
        <v>6926559300</v>
      </c>
      <c r="C383">
        <v>5944859899</v>
      </c>
      <c r="D383" t="s">
        <v>30</v>
      </c>
      <c r="E383" s="7">
        <v>492</v>
      </c>
      <c r="F383" s="7">
        <v>492</v>
      </c>
      <c r="G383" s="7">
        <v>0</v>
      </c>
      <c r="H383" t="s">
        <v>38</v>
      </c>
      <c r="I383" t="s">
        <v>25</v>
      </c>
      <c r="J383" t="s">
        <v>43</v>
      </c>
      <c r="K383" t="s">
        <v>16</v>
      </c>
      <c r="L383" t="s">
        <v>16</v>
      </c>
      <c r="M383" t="s">
        <v>17</v>
      </c>
    </row>
    <row r="384" spans="1:13" x14ac:dyDescent="0.35">
      <c r="A384" t="s">
        <v>524</v>
      </c>
      <c r="B384">
        <v>8318086127</v>
      </c>
      <c r="C384">
        <v>5501402679</v>
      </c>
      <c r="D384" t="s">
        <v>24</v>
      </c>
      <c r="E384" s="7">
        <v>275</v>
      </c>
      <c r="F384" s="7">
        <v>275</v>
      </c>
      <c r="G384" s="7">
        <v>0</v>
      </c>
      <c r="H384" t="s">
        <v>53</v>
      </c>
      <c r="I384" t="s">
        <v>74</v>
      </c>
      <c r="J384" t="s">
        <v>22</v>
      </c>
      <c r="K384" t="s">
        <v>27</v>
      </c>
      <c r="L384" t="s">
        <v>16</v>
      </c>
      <c r="M384" t="s">
        <v>58</v>
      </c>
    </row>
    <row r="385" spans="1:13" x14ac:dyDescent="0.35">
      <c r="A385" t="s">
        <v>525</v>
      </c>
      <c r="B385">
        <v>3629070060</v>
      </c>
      <c r="C385">
        <v>3036731483</v>
      </c>
      <c r="D385" t="s">
        <v>30</v>
      </c>
      <c r="E385" s="7">
        <v>330</v>
      </c>
      <c r="F385" s="7">
        <v>242</v>
      </c>
      <c r="G385" s="7">
        <v>88</v>
      </c>
      <c r="H385" t="s">
        <v>56</v>
      </c>
      <c r="I385" t="s">
        <v>465</v>
      </c>
      <c r="J385" t="s">
        <v>26</v>
      </c>
      <c r="K385" t="s">
        <v>27</v>
      </c>
      <c r="L385" t="s">
        <v>894</v>
      </c>
      <c r="M385" t="s">
        <v>44</v>
      </c>
    </row>
    <row r="386" spans="1:13" x14ac:dyDescent="0.35">
      <c r="A386" t="s">
        <v>526</v>
      </c>
      <c r="B386">
        <v>5966584161</v>
      </c>
      <c r="C386">
        <v>6832999180</v>
      </c>
      <c r="D386" t="s">
        <v>67</v>
      </c>
      <c r="E386" s="7">
        <v>117</v>
      </c>
      <c r="F386" s="7">
        <v>117</v>
      </c>
      <c r="G386" s="7">
        <v>0</v>
      </c>
      <c r="H386" t="s">
        <v>35</v>
      </c>
      <c r="I386" t="s">
        <v>378</v>
      </c>
      <c r="J386" t="s">
        <v>43</v>
      </c>
      <c r="K386" t="s">
        <v>27</v>
      </c>
      <c r="L386" t="s">
        <v>16</v>
      </c>
      <c r="M386" t="s">
        <v>28</v>
      </c>
    </row>
    <row r="387" spans="1:13" x14ac:dyDescent="0.35">
      <c r="A387" t="s">
        <v>527</v>
      </c>
      <c r="B387">
        <v>5528482343</v>
      </c>
      <c r="C387">
        <v>4559607867</v>
      </c>
      <c r="D387" t="s">
        <v>24</v>
      </c>
      <c r="E387" s="7">
        <v>196</v>
      </c>
      <c r="F387" s="7">
        <v>196</v>
      </c>
      <c r="G387" s="7">
        <v>0</v>
      </c>
      <c r="H387" t="s">
        <v>14</v>
      </c>
      <c r="I387" t="s">
        <v>76</v>
      </c>
      <c r="J387" t="s">
        <v>22</v>
      </c>
      <c r="K387" t="s">
        <v>0</v>
      </c>
      <c r="L387" t="s">
        <v>16</v>
      </c>
      <c r="M387" t="s">
        <v>44</v>
      </c>
    </row>
    <row r="388" spans="1:13" x14ac:dyDescent="0.35">
      <c r="A388" t="s">
        <v>528</v>
      </c>
      <c r="B388">
        <v>6931363034</v>
      </c>
      <c r="C388">
        <v>8547658278</v>
      </c>
      <c r="D388" t="s">
        <v>30</v>
      </c>
      <c r="E388" s="7">
        <v>307</v>
      </c>
      <c r="F388" s="7">
        <v>307</v>
      </c>
      <c r="G388" s="7">
        <v>0</v>
      </c>
      <c r="H388" t="s">
        <v>99</v>
      </c>
      <c r="I388" t="s">
        <v>57</v>
      </c>
      <c r="J388" t="s">
        <v>43</v>
      </c>
      <c r="K388" t="s">
        <v>27</v>
      </c>
      <c r="L388" t="s">
        <v>16</v>
      </c>
      <c r="M388" t="s">
        <v>28</v>
      </c>
    </row>
    <row r="389" spans="1:13" x14ac:dyDescent="0.35">
      <c r="A389" t="s">
        <v>529</v>
      </c>
      <c r="B389">
        <v>8522090959</v>
      </c>
      <c r="C389">
        <v>7315199086</v>
      </c>
      <c r="D389" t="s">
        <v>24</v>
      </c>
      <c r="E389" s="7">
        <v>496</v>
      </c>
      <c r="F389" s="7">
        <v>496</v>
      </c>
      <c r="G389" s="7">
        <v>0</v>
      </c>
      <c r="H389" t="s">
        <v>14</v>
      </c>
      <c r="I389" t="s">
        <v>251</v>
      </c>
      <c r="J389" t="s">
        <v>43</v>
      </c>
      <c r="K389" t="s">
        <v>16</v>
      </c>
      <c r="L389" t="s">
        <v>16</v>
      </c>
      <c r="M389" t="s">
        <v>17</v>
      </c>
    </row>
    <row r="390" spans="1:13" x14ac:dyDescent="0.35">
      <c r="A390" t="s">
        <v>530</v>
      </c>
      <c r="B390">
        <v>2240357183</v>
      </c>
      <c r="C390">
        <v>2957962640</v>
      </c>
      <c r="D390" t="s">
        <v>30</v>
      </c>
      <c r="E390" s="7">
        <v>232</v>
      </c>
      <c r="F390" s="7">
        <v>232</v>
      </c>
      <c r="G390" s="7">
        <v>0</v>
      </c>
      <c r="H390" t="s">
        <v>14</v>
      </c>
      <c r="I390" t="s">
        <v>116</v>
      </c>
      <c r="J390" t="s">
        <v>43</v>
      </c>
      <c r="K390" t="s">
        <v>16</v>
      </c>
      <c r="L390" t="s">
        <v>16</v>
      </c>
      <c r="M390" t="s">
        <v>17</v>
      </c>
    </row>
    <row r="391" spans="1:13" x14ac:dyDescent="0.35">
      <c r="A391" t="s">
        <v>531</v>
      </c>
      <c r="B391">
        <v>738777314</v>
      </c>
      <c r="C391">
        <v>76371852</v>
      </c>
      <c r="D391" t="s">
        <v>24</v>
      </c>
      <c r="E391" s="7">
        <v>307</v>
      </c>
      <c r="F391" s="7">
        <v>307</v>
      </c>
      <c r="G391" s="7">
        <v>0</v>
      </c>
      <c r="H391" t="s">
        <v>80</v>
      </c>
      <c r="I391" t="s">
        <v>215</v>
      </c>
      <c r="J391" t="s">
        <v>26</v>
      </c>
      <c r="K391" t="s">
        <v>0</v>
      </c>
      <c r="L391" t="s">
        <v>16</v>
      </c>
      <c r="M391" t="s">
        <v>40</v>
      </c>
    </row>
    <row r="392" spans="1:13" x14ac:dyDescent="0.35">
      <c r="A392" t="s">
        <v>532</v>
      </c>
      <c r="B392">
        <v>1311702037</v>
      </c>
      <c r="C392">
        <v>1928688949</v>
      </c>
      <c r="D392" t="s">
        <v>67</v>
      </c>
      <c r="E392" s="7">
        <v>151</v>
      </c>
      <c r="F392" s="7">
        <v>110</v>
      </c>
      <c r="G392" s="7">
        <v>41</v>
      </c>
      <c r="H392" t="s">
        <v>56</v>
      </c>
      <c r="I392" t="s">
        <v>137</v>
      </c>
      <c r="J392" t="s">
        <v>43</v>
      </c>
      <c r="K392" t="s">
        <v>27</v>
      </c>
      <c r="L392" t="s">
        <v>894</v>
      </c>
      <c r="M392" t="s">
        <v>55</v>
      </c>
    </row>
    <row r="393" spans="1:13" x14ac:dyDescent="0.35">
      <c r="A393" t="s">
        <v>533</v>
      </c>
      <c r="B393">
        <v>3632149990</v>
      </c>
      <c r="C393">
        <v>5627607005</v>
      </c>
      <c r="D393" t="s">
        <v>13</v>
      </c>
      <c r="E393" s="7">
        <v>377</v>
      </c>
      <c r="F393" s="7">
        <v>377</v>
      </c>
      <c r="G393" s="7">
        <v>0</v>
      </c>
      <c r="H393" t="s">
        <v>14</v>
      </c>
      <c r="I393" t="s">
        <v>183</v>
      </c>
      <c r="J393" t="s">
        <v>43</v>
      </c>
      <c r="K393" t="s">
        <v>16</v>
      </c>
      <c r="L393" t="s">
        <v>16</v>
      </c>
      <c r="M393" t="s">
        <v>17</v>
      </c>
    </row>
    <row r="394" spans="1:13" x14ac:dyDescent="0.35">
      <c r="A394" t="s">
        <v>534</v>
      </c>
      <c r="B394">
        <v>2310865330</v>
      </c>
      <c r="C394">
        <v>8394713204</v>
      </c>
      <c r="D394" t="s">
        <v>24</v>
      </c>
      <c r="E394" s="7">
        <v>445</v>
      </c>
      <c r="F394" s="7">
        <v>445</v>
      </c>
      <c r="G394" s="7">
        <v>0</v>
      </c>
      <c r="H394" t="s">
        <v>14</v>
      </c>
      <c r="I394" t="s">
        <v>109</v>
      </c>
      <c r="J394" t="s">
        <v>43</v>
      </c>
      <c r="K394" t="s">
        <v>0</v>
      </c>
      <c r="L394" t="s">
        <v>16</v>
      </c>
      <c r="M394" t="s">
        <v>55</v>
      </c>
    </row>
    <row r="395" spans="1:13" x14ac:dyDescent="0.35">
      <c r="A395" t="s">
        <v>535</v>
      </c>
      <c r="B395">
        <v>2289749987</v>
      </c>
      <c r="C395">
        <v>2399273177</v>
      </c>
      <c r="D395" t="s">
        <v>30</v>
      </c>
      <c r="E395" s="7">
        <v>283</v>
      </c>
      <c r="F395" s="7">
        <v>0</v>
      </c>
      <c r="G395" s="7">
        <v>283</v>
      </c>
      <c r="H395" t="s">
        <v>56</v>
      </c>
      <c r="I395" t="s">
        <v>191</v>
      </c>
      <c r="J395" t="s">
        <v>43</v>
      </c>
      <c r="K395" t="s">
        <v>0</v>
      </c>
      <c r="L395" t="s">
        <v>0</v>
      </c>
      <c r="M395" t="s">
        <v>44</v>
      </c>
    </row>
    <row r="396" spans="1:13" x14ac:dyDescent="0.35">
      <c r="A396" t="s">
        <v>536</v>
      </c>
      <c r="B396">
        <v>5200827930</v>
      </c>
      <c r="C396">
        <v>4587251076</v>
      </c>
      <c r="D396" t="s">
        <v>24</v>
      </c>
      <c r="E396" s="7">
        <v>259</v>
      </c>
      <c r="F396" s="7">
        <v>0</v>
      </c>
      <c r="G396" s="7">
        <v>259</v>
      </c>
      <c r="H396" t="s">
        <v>56</v>
      </c>
      <c r="I396" t="s">
        <v>144</v>
      </c>
      <c r="J396" t="s">
        <v>26</v>
      </c>
      <c r="K396" t="s">
        <v>0</v>
      </c>
      <c r="L396" t="s">
        <v>0</v>
      </c>
      <c r="M396" t="s">
        <v>40</v>
      </c>
    </row>
    <row r="397" spans="1:13" x14ac:dyDescent="0.35">
      <c r="A397" t="s">
        <v>537</v>
      </c>
      <c r="B397">
        <v>1380625484</v>
      </c>
      <c r="C397">
        <v>1029254695</v>
      </c>
      <c r="D397" t="s">
        <v>19</v>
      </c>
      <c r="E397" s="7">
        <v>254</v>
      </c>
      <c r="F397" s="7">
        <v>254</v>
      </c>
      <c r="G397" s="7">
        <v>0</v>
      </c>
      <c r="H397" t="s">
        <v>20</v>
      </c>
      <c r="I397" t="s">
        <v>125</v>
      </c>
      <c r="J397" t="s">
        <v>26</v>
      </c>
      <c r="K397" t="s">
        <v>16</v>
      </c>
      <c r="L397" t="s">
        <v>16</v>
      </c>
      <c r="M397" t="s">
        <v>17</v>
      </c>
    </row>
    <row r="398" spans="1:13" x14ac:dyDescent="0.35">
      <c r="A398" t="s">
        <v>538</v>
      </c>
      <c r="B398">
        <v>6956102357</v>
      </c>
      <c r="C398">
        <v>2565531730</v>
      </c>
      <c r="D398" t="s">
        <v>30</v>
      </c>
      <c r="E398" s="7">
        <v>356</v>
      </c>
      <c r="F398" s="7">
        <v>356</v>
      </c>
      <c r="G398" s="7">
        <v>0</v>
      </c>
      <c r="H398" t="s">
        <v>31</v>
      </c>
      <c r="I398" t="s">
        <v>96</v>
      </c>
      <c r="J398" t="s">
        <v>26</v>
      </c>
      <c r="K398" t="s">
        <v>16</v>
      </c>
      <c r="L398" t="s">
        <v>16</v>
      </c>
      <c r="M398" t="s">
        <v>17</v>
      </c>
    </row>
    <row r="399" spans="1:13" x14ac:dyDescent="0.35">
      <c r="A399" t="s">
        <v>539</v>
      </c>
      <c r="B399">
        <v>7043034800</v>
      </c>
      <c r="C399">
        <v>7471264489</v>
      </c>
      <c r="D399" t="s">
        <v>24</v>
      </c>
      <c r="E399" s="7">
        <v>360</v>
      </c>
      <c r="F399" s="7">
        <v>360</v>
      </c>
      <c r="G399" s="7">
        <v>0</v>
      </c>
      <c r="H399" t="s">
        <v>80</v>
      </c>
      <c r="I399" t="s">
        <v>199</v>
      </c>
      <c r="J399" t="s">
        <v>22</v>
      </c>
      <c r="K399" t="s">
        <v>16</v>
      </c>
      <c r="L399" t="s">
        <v>16</v>
      </c>
      <c r="M399" t="s">
        <v>17</v>
      </c>
    </row>
    <row r="400" spans="1:13" x14ac:dyDescent="0.35">
      <c r="A400" t="s">
        <v>540</v>
      </c>
      <c r="B400">
        <v>722965698</v>
      </c>
      <c r="C400">
        <v>2141889695</v>
      </c>
      <c r="D400" t="s">
        <v>19</v>
      </c>
      <c r="E400" s="7">
        <v>417</v>
      </c>
      <c r="F400" s="7">
        <v>417</v>
      </c>
      <c r="G400" s="7">
        <v>0</v>
      </c>
      <c r="H400" t="s">
        <v>14</v>
      </c>
      <c r="I400" t="s">
        <v>96</v>
      </c>
      <c r="J400" t="s">
        <v>26</v>
      </c>
      <c r="K400" t="s">
        <v>16</v>
      </c>
      <c r="L400" t="s">
        <v>16</v>
      </c>
      <c r="M400" t="s">
        <v>17</v>
      </c>
    </row>
    <row r="401" spans="1:13" x14ac:dyDescent="0.35">
      <c r="A401" t="s">
        <v>541</v>
      </c>
      <c r="B401">
        <v>6127741973</v>
      </c>
      <c r="C401">
        <v>7749908811</v>
      </c>
      <c r="D401" t="s">
        <v>30</v>
      </c>
      <c r="E401" s="7">
        <v>273</v>
      </c>
      <c r="F401" s="7">
        <v>273</v>
      </c>
      <c r="G401" s="7">
        <v>0</v>
      </c>
      <c r="H401" t="s">
        <v>31</v>
      </c>
      <c r="I401" t="s">
        <v>251</v>
      </c>
      <c r="J401" t="s">
        <v>43</v>
      </c>
      <c r="K401" t="s">
        <v>16</v>
      </c>
      <c r="L401" t="s">
        <v>16</v>
      </c>
      <c r="M401" t="s">
        <v>17</v>
      </c>
    </row>
    <row r="402" spans="1:13" x14ac:dyDescent="0.35">
      <c r="A402" t="s">
        <v>542</v>
      </c>
      <c r="B402">
        <v>1340620656</v>
      </c>
      <c r="C402">
        <v>728294651</v>
      </c>
      <c r="D402" t="s">
        <v>30</v>
      </c>
      <c r="E402" s="7">
        <v>241</v>
      </c>
      <c r="F402" s="7">
        <v>0</v>
      </c>
      <c r="G402" s="7">
        <v>241</v>
      </c>
      <c r="H402" t="s">
        <v>14</v>
      </c>
      <c r="I402" t="s">
        <v>183</v>
      </c>
      <c r="J402" t="s">
        <v>22</v>
      </c>
      <c r="K402" t="s">
        <v>27</v>
      </c>
      <c r="L402" t="s">
        <v>0</v>
      </c>
      <c r="M402" t="s">
        <v>33</v>
      </c>
    </row>
    <row r="403" spans="1:13" x14ac:dyDescent="0.35">
      <c r="A403" t="s">
        <v>543</v>
      </c>
      <c r="B403">
        <v>8283813605</v>
      </c>
      <c r="C403">
        <v>7718410955</v>
      </c>
      <c r="D403" t="s">
        <v>30</v>
      </c>
      <c r="E403" s="7">
        <v>103</v>
      </c>
      <c r="F403" s="7">
        <v>0</v>
      </c>
      <c r="G403" s="7">
        <v>103</v>
      </c>
      <c r="H403" t="s">
        <v>38</v>
      </c>
      <c r="I403" t="s">
        <v>15</v>
      </c>
      <c r="J403" t="s">
        <v>22</v>
      </c>
      <c r="K403" t="s">
        <v>0</v>
      </c>
      <c r="L403" t="s">
        <v>0</v>
      </c>
      <c r="M403" t="s">
        <v>40</v>
      </c>
    </row>
    <row r="404" spans="1:13" x14ac:dyDescent="0.35">
      <c r="A404" t="s">
        <v>544</v>
      </c>
      <c r="B404">
        <v>4730614932</v>
      </c>
      <c r="C404">
        <v>3292649561</v>
      </c>
      <c r="D404" t="s">
        <v>13</v>
      </c>
      <c r="E404" s="7">
        <v>155</v>
      </c>
      <c r="F404" s="7">
        <v>0</v>
      </c>
      <c r="G404" s="7">
        <v>155</v>
      </c>
      <c r="H404" t="s">
        <v>80</v>
      </c>
      <c r="I404" t="s">
        <v>256</v>
      </c>
      <c r="J404" t="s">
        <v>22</v>
      </c>
      <c r="K404" t="s">
        <v>0</v>
      </c>
      <c r="L404" t="s">
        <v>0</v>
      </c>
      <c r="M404" t="s">
        <v>55</v>
      </c>
    </row>
    <row r="405" spans="1:13" x14ac:dyDescent="0.35">
      <c r="A405" t="s">
        <v>545</v>
      </c>
      <c r="B405">
        <v>7449106585</v>
      </c>
      <c r="C405">
        <v>835861604</v>
      </c>
      <c r="D405" t="s">
        <v>19</v>
      </c>
      <c r="E405" s="7">
        <v>246</v>
      </c>
      <c r="F405" s="7">
        <v>246</v>
      </c>
      <c r="G405" s="7">
        <v>0</v>
      </c>
      <c r="H405" t="s">
        <v>99</v>
      </c>
      <c r="I405" t="s">
        <v>281</v>
      </c>
      <c r="J405" t="s">
        <v>26</v>
      </c>
      <c r="K405" t="s">
        <v>16</v>
      </c>
      <c r="L405" t="s">
        <v>16</v>
      </c>
      <c r="M405" t="s">
        <v>17</v>
      </c>
    </row>
    <row r="406" spans="1:13" x14ac:dyDescent="0.35">
      <c r="A406" t="s">
        <v>546</v>
      </c>
      <c r="B406">
        <v>6060567002</v>
      </c>
      <c r="C406">
        <v>4180307806</v>
      </c>
      <c r="D406" t="s">
        <v>13</v>
      </c>
      <c r="E406" s="7">
        <v>158</v>
      </c>
      <c r="F406" s="7">
        <v>0</v>
      </c>
      <c r="G406" s="7">
        <v>158</v>
      </c>
      <c r="H406" t="s">
        <v>38</v>
      </c>
      <c r="I406" t="s">
        <v>81</v>
      </c>
      <c r="J406" t="s">
        <v>22</v>
      </c>
      <c r="K406" t="s">
        <v>27</v>
      </c>
      <c r="L406" t="s">
        <v>0</v>
      </c>
      <c r="M406" t="s">
        <v>55</v>
      </c>
    </row>
    <row r="407" spans="1:13" x14ac:dyDescent="0.35">
      <c r="A407" t="s">
        <v>547</v>
      </c>
      <c r="B407">
        <v>4434252398</v>
      </c>
      <c r="C407">
        <v>2601209246</v>
      </c>
      <c r="D407" t="s">
        <v>67</v>
      </c>
      <c r="E407" s="7">
        <v>132</v>
      </c>
      <c r="F407" s="7">
        <v>81</v>
      </c>
      <c r="G407" s="7">
        <v>51</v>
      </c>
      <c r="H407" t="s">
        <v>99</v>
      </c>
      <c r="I407" t="s">
        <v>183</v>
      </c>
      <c r="J407" t="s">
        <v>22</v>
      </c>
      <c r="K407" t="s">
        <v>0</v>
      </c>
      <c r="L407" t="s">
        <v>894</v>
      </c>
      <c r="M407" t="s">
        <v>33</v>
      </c>
    </row>
    <row r="408" spans="1:13" x14ac:dyDescent="0.35">
      <c r="A408" t="s">
        <v>548</v>
      </c>
      <c r="B408">
        <v>8436192763</v>
      </c>
      <c r="C408">
        <v>5742962214</v>
      </c>
      <c r="D408" t="s">
        <v>19</v>
      </c>
      <c r="E408" s="7">
        <v>316</v>
      </c>
      <c r="F408" s="7">
        <v>316</v>
      </c>
      <c r="G408" s="7">
        <v>0</v>
      </c>
      <c r="H408" t="s">
        <v>56</v>
      </c>
      <c r="I408" t="s">
        <v>121</v>
      </c>
      <c r="J408" t="s">
        <v>22</v>
      </c>
      <c r="K408" t="s">
        <v>16</v>
      </c>
      <c r="L408" t="s">
        <v>16</v>
      </c>
      <c r="M408" t="s">
        <v>17</v>
      </c>
    </row>
    <row r="409" spans="1:13" x14ac:dyDescent="0.35">
      <c r="A409" t="s">
        <v>549</v>
      </c>
      <c r="B409">
        <v>4855644681</v>
      </c>
      <c r="C409">
        <v>568405850</v>
      </c>
      <c r="D409" t="s">
        <v>67</v>
      </c>
      <c r="E409" s="7">
        <v>187</v>
      </c>
      <c r="F409" s="7">
        <v>187</v>
      </c>
      <c r="G409" s="7">
        <v>0</v>
      </c>
      <c r="H409" t="s">
        <v>31</v>
      </c>
      <c r="I409" t="s">
        <v>96</v>
      </c>
      <c r="J409" t="s">
        <v>26</v>
      </c>
      <c r="K409" t="s">
        <v>16</v>
      </c>
      <c r="L409" t="s">
        <v>16</v>
      </c>
      <c r="M409" t="s">
        <v>17</v>
      </c>
    </row>
    <row r="410" spans="1:13" x14ac:dyDescent="0.35">
      <c r="A410" t="s">
        <v>550</v>
      </c>
      <c r="B410">
        <v>3460872464</v>
      </c>
      <c r="C410">
        <v>7633222282</v>
      </c>
      <c r="D410" t="s">
        <v>19</v>
      </c>
      <c r="E410" s="7">
        <v>231</v>
      </c>
      <c r="F410" s="7">
        <v>231</v>
      </c>
      <c r="G410" s="7">
        <v>0</v>
      </c>
      <c r="H410" t="s">
        <v>38</v>
      </c>
      <c r="I410" t="s">
        <v>100</v>
      </c>
      <c r="J410" t="s">
        <v>26</v>
      </c>
      <c r="K410" t="s">
        <v>16</v>
      </c>
      <c r="L410" t="s">
        <v>16</v>
      </c>
      <c r="M410" t="s">
        <v>17</v>
      </c>
    </row>
    <row r="411" spans="1:13" x14ac:dyDescent="0.35">
      <c r="A411" t="s">
        <v>551</v>
      </c>
      <c r="B411">
        <v>5764893122</v>
      </c>
      <c r="C411">
        <v>1763635349</v>
      </c>
      <c r="D411" t="s">
        <v>67</v>
      </c>
      <c r="E411" s="7">
        <v>135</v>
      </c>
      <c r="F411" s="7">
        <v>72</v>
      </c>
      <c r="G411" s="7">
        <v>63</v>
      </c>
      <c r="H411" t="s">
        <v>31</v>
      </c>
      <c r="I411" t="s">
        <v>96</v>
      </c>
      <c r="J411" t="s">
        <v>26</v>
      </c>
      <c r="K411" t="s">
        <v>27</v>
      </c>
      <c r="L411" t="s">
        <v>894</v>
      </c>
      <c r="M411" t="s">
        <v>44</v>
      </c>
    </row>
    <row r="412" spans="1:13" x14ac:dyDescent="0.35">
      <c r="A412" t="s">
        <v>552</v>
      </c>
      <c r="B412">
        <v>6079651870</v>
      </c>
      <c r="C412">
        <v>5818045824</v>
      </c>
      <c r="D412" t="s">
        <v>67</v>
      </c>
      <c r="E412" s="7">
        <v>316</v>
      </c>
      <c r="F412" s="7">
        <v>316</v>
      </c>
      <c r="G412" s="7">
        <v>0</v>
      </c>
      <c r="H412" t="s">
        <v>56</v>
      </c>
      <c r="I412" t="s">
        <v>54</v>
      </c>
      <c r="J412" t="s">
        <v>22</v>
      </c>
      <c r="K412" t="s">
        <v>16</v>
      </c>
      <c r="L412" t="s">
        <v>16</v>
      </c>
      <c r="M412" t="s">
        <v>17</v>
      </c>
    </row>
    <row r="413" spans="1:13" x14ac:dyDescent="0.35">
      <c r="A413" t="s">
        <v>553</v>
      </c>
      <c r="B413">
        <v>5697674548</v>
      </c>
      <c r="C413">
        <v>2407426934</v>
      </c>
      <c r="D413" t="s">
        <v>13</v>
      </c>
      <c r="E413" s="7">
        <v>149</v>
      </c>
      <c r="F413" s="7">
        <v>0</v>
      </c>
      <c r="G413" s="7">
        <v>149</v>
      </c>
      <c r="H413" t="s">
        <v>56</v>
      </c>
      <c r="I413" t="s">
        <v>281</v>
      </c>
      <c r="J413" t="s">
        <v>26</v>
      </c>
      <c r="K413" t="s">
        <v>27</v>
      </c>
      <c r="L413" t="s">
        <v>0</v>
      </c>
      <c r="M413" t="s">
        <v>28</v>
      </c>
    </row>
    <row r="414" spans="1:13" x14ac:dyDescent="0.35">
      <c r="A414" t="s">
        <v>554</v>
      </c>
      <c r="B414">
        <v>2001375545</v>
      </c>
      <c r="C414">
        <v>3151701172</v>
      </c>
      <c r="D414" t="s">
        <v>67</v>
      </c>
      <c r="E414" s="7">
        <v>249</v>
      </c>
      <c r="F414" s="7">
        <v>249</v>
      </c>
      <c r="G414" s="7">
        <v>0</v>
      </c>
      <c r="H414" t="s">
        <v>70</v>
      </c>
      <c r="I414" t="s">
        <v>92</v>
      </c>
      <c r="J414" t="s">
        <v>43</v>
      </c>
      <c r="K414" t="s">
        <v>16</v>
      </c>
      <c r="L414" t="s">
        <v>16</v>
      </c>
      <c r="M414" t="s">
        <v>17</v>
      </c>
    </row>
    <row r="415" spans="1:13" x14ac:dyDescent="0.35">
      <c r="A415" t="s">
        <v>555</v>
      </c>
      <c r="B415">
        <v>3090183086</v>
      </c>
      <c r="C415">
        <v>5350029457</v>
      </c>
      <c r="D415" t="s">
        <v>67</v>
      </c>
      <c r="E415" s="7">
        <v>442</v>
      </c>
      <c r="F415" s="7">
        <v>0</v>
      </c>
      <c r="G415" s="7">
        <v>442</v>
      </c>
      <c r="H415" t="s">
        <v>53</v>
      </c>
      <c r="I415" t="s">
        <v>191</v>
      </c>
      <c r="J415" t="s">
        <v>22</v>
      </c>
      <c r="K415" t="s">
        <v>0</v>
      </c>
      <c r="L415" t="s">
        <v>0</v>
      </c>
      <c r="M415" t="s">
        <v>126</v>
      </c>
    </row>
    <row r="416" spans="1:13" x14ac:dyDescent="0.35">
      <c r="A416" t="s">
        <v>556</v>
      </c>
      <c r="B416">
        <v>782054899</v>
      </c>
      <c r="C416">
        <v>2478322950</v>
      </c>
      <c r="D416" t="s">
        <v>30</v>
      </c>
      <c r="E416" s="7">
        <v>408</v>
      </c>
      <c r="F416" s="7">
        <v>408</v>
      </c>
      <c r="G416" s="7">
        <v>0</v>
      </c>
      <c r="H416" t="s">
        <v>70</v>
      </c>
      <c r="I416" t="s">
        <v>42</v>
      </c>
      <c r="J416" t="s">
        <v>26</v>
      </c>
      <c r="K416" t="s">
        <v>16</v>
      </c>
      <c r="L416" t="s">
        <v>16</v>
      </c>
      <c r="M416" t="s">
        <v>17</v>
      </c>
    </row>
    <row r="417" spans="1:13" x14ac:dyDescent="0.35">
      <c r="A417" t="s">
        <v>557</v>
      </c>
      <c r="B417">
        <v>8840408187</v>
      </c>
      <c r="C417">
        <v>3157655621</v>
      </c>
      <c r="D417" t="s">
        <v>30</v>
      </c>
      <c r="E417" s="7">
        <v>386</v>
      </c>
      <c r="F417" s="7">
        <v>0</v>
      </c>
      <c r="G417" s="7">
        <v>386</v>
      </c>
      <c r="H417" t="s">
        <v>35</v>
      </c>
      <c r="I417" t="s">
        <v>231</v>
      </c>
      <c r="J417" t="s">
        <v>43</v>
      </c>
      <c r="K417" t="s">
        <v>27</v>
      </c>
      <c r="L417" t="s">
        <v>0</v>
      </c>
      <c r="M417" t="s">
        <v>28</v>
      </c>
    </row>
    <row r="418" spans="1:13" x14ac:dyDescent="0.35">
      <c r="A418" t="s">
        <v>558</v>
      </c>
      <c r="B418">
        <v>9046284381</v>
      </c>
      <c r="C418">
        <v>534484178</v>
      </c>
      <c r="D418" t="s">
        <v>30</v>
      </c>
      <c r="E418" s="7">
        <v>163</v>
      </c>
      <c r="F418" s="7">
        <v>0</v>
      </c>
      <c r="G418" s="7">
        <v>163</v>
      </c>
      <c r="H418" t="s">
        <v>38</v>
      </c>
      <c r="I418" t="s">
        <v>165</v>
      </c>
      <c r="J418" t="s">
        <v>22</v>
      </c>
      <c r="K418" t="s">
        <v>0</v>
      </c>
      <c r="L418" t="s">
        <v>0</v>
      </c>
      <c r="M418" t="s">
        <v>33</v>
      </c>
    </row>
    <row r="419" spans="1:13" x14ac:dyDescent="0.35">
      <c r="A419" t="s">
        <v>559</v>
      </c>
      <c r="B419">
        <v>2776651760</v>
      </c>
      <c r="C419">
        <v>9025513192</v>
      </c>
      <c r="D419" t="s">
        <v>19</v>
      </c>
      <c r="E419" s="7">
        <v>186</v>
      </c>
      <c r="F419" s="7">
        <v>0</v>
      </c>
      <c r="G419" s="7">
        <v>186</v>
      </c>
      <c r="H419" t="s">
        <v>20</v>
      </c>
      <c r="I419" t="s">
        <v>187</v>
      </c>
      <c r="J419" t="s">
        <v>22</v>
      </c>
      <c r="K419" t="s">
        <v>27</v>
      </c>
      <c r="L419" t="s">
        <v>0</v>
      </c>
      <c r="M419" t="s">
        <v>44</v>
      </c>
    </row>
    <row r="420" spans="1:13" x14ac:dyDescent="0.35">
      <c r="A420" t="s">
        <v>560</v>
      </c>
      <c r="B420">
        <v>4572940200</v>
      </c>
      <c r="C420">
        <v>2901780424</v>
      </c>
      <c r="D420" t="s">
        <v>19</v>
      </c>
      <c r="E420" s="7">
        <v>182</v>
      </c>
      <c r="F420" s="7">
        <v>182</v>
      </c>
      <c r="G420" s="7">
        <v>0</v>
      </c>
      <c r="H420" t="s">
        <v>14</v>
      </c>
      <c r="I420" t="s">
        <v>189</v>
      </c>
      <c r="J420" t="s">
        <v>26</v>
      </c>
      <c r="K420" t="s">
        <v>16</v>
      </c>
      <c r="L420" t="s">
        <v>16</v>
      </c>
      <c r="M420" t="s">
        <v>17</v>
      </c>
    </row>
    <row r="421" spans="1:13" x14ac:dyDescent="0.35">
      <c r="A421" t="s">
        <v>561</v>
      </c>
      <c r="B421">
        <v>421037848</v>
      </c>
      <c r="C421">
        <v>5625571929</v>
      </c>
      <c r="D421" t="s">
        <v>24</v>
      </c>
      <c r="E421" s="7">
        <v>494</v>
      </c>
      <c r="F421" s="7">
        <v>494</v>
      </c>
      <c r="G421" s="7">
        <v>0</v>
      </c>
      <c r="H421" t="s">
        <v>80</v>
      </c>
      <c r="I421" t="s">
        <v>116</v>
      </c>
      <c r="J421" t="s">
        <v>26</v>
      </c>
      <c r="K421" t="s">
        <v>16</v>
      </c>
      <c r="L421" t="s">
        <v>16</v>
      </c>
      <c r="M421" t="s">
        <v>17</v>
      </c>
    </row>
    <row r="422" spans="1:13" x14ac:dyDescent="0.35">
      <c r="A422" t="s">
        <v>562</v>
      </c>
      <c r="B422">
        <v>7456221047</v>
      </c>
      <c r="C422">
        <v>7979694445</v>
      </c>
      <c r="D422" t="s">
        <v>24</v>
      </c>
      <c r="E422" s="7">
        <v>369</v>
      </c>
      <c r="F422" s="7">
        <v>369</v>
      </c>
      <c r="G422" s="7">
        <v>0</v>
      </c>
      <c r="H422" t="s">
        <v>35</v>
      </c>
      <c r="I422" t="s">
        <v>281</v>
      </c>
      <c r="J422" t="s">
        <v>22</v>
      </c>
      <c r="K422" t="s">
        <v>0</v>
      </c>
      <c r="L422" t="s">
        <v>16</v>
      </c>
      <c r="M422" t="s">
        <v>33</v>
      </c>
    </row>
    <row r="423" spans="1:13" x14ac:dyDescent="0.35">
      <c r="A423" t="s">
        <v>563</v>
      </c>
      <c r="B423">
        <v>9486691259</v>
      </c>
      <c r="C423">
        <v>8213319359</v>
      </c>
      <c r="D423" t="s">
        <v>30</v>
      </c>
      <c r="E423" s="7">
        <v>480</v>
      </c>
      <c r="F423" s="7">
        <v>0</v>
      </c>
      <c r="G423" s="7">
        <v>480</v>
      </c>
      <c r="H423" t="s">
        <v>80</v>
      </c>
      <c r="I423" t="s">
        <v>81</v>
      </c>
      <c r="J423" t="s">
        <v>43</v>
      </c>
      <c r="K423" t="s">
        <v>27</v>
      </c>
      <c r="L423" t="s">
        <v>0</v>
      </c>
      <c r="M423" t="s">
        <v>40</v>
      </c>
    </row>
    <row r="424" spans="1:13" x14ac:dyDescent="0.35">
      <c r="A424" t="s">
        <v>564</v>
      </c>
      <c r="B424">
        <v>7929279518</v>
      </c>
      <c r="C424">
        <v>8327104802</v>
      </c>
      <c r="D424" t="s">
        <v>19</v>
      </c>
      <c r="E424" s="7">
        <v>462</v>
      </c>
      <c r="F424" s="7">
        <v>0</v>
      </c>
      <c r="G424" s="7">
        <v>462</v>
      </c>
      <c r="H424" t="s">
        <v>35</v>
      </c>
      <c r="I424" t="s">
        <v>65</v>
      </c>
      <c r="J424" t="s">
        <v>26</v>
      </c>
      <c r="K424" t="s">
        <v>27</v>
      </c>
      <c r="L424" t="s">
        <v>0</v>
      </c>
      <c r="M424" t="s">
        <v>126</v>
      </c>
    </row>
    <row r="425" spans="1:13" x14ac:dyDescent="0.35">
      <c r="A425" t="s">
        <v>565</v>
      </c>
      <c r="B425">
        <v>1700147911</v>
      </c>
      <c r="C425">
        <v>5561575318</v>
      </c>
      <c r="D425" t="s">
        <v>24</v>
      </c>
      <c r="E425" s="7">
        <v>494</v>
      </c>
      <c r="F425" s="7">
        <v>423</v>
      </c>
      <c r="G425" s="7">
        <v>71</v>
      </c>
      <c r="H425" t="s">
        <v>53</v>
      </c>
      <c r="I425" t="s">
        <v>54</v>
      </c>
      <c r="J425" t="s">
        <v>43</v>
      </c>
      <c r="K425" t="s">
        <v>27</v>
      </c>
      <c r="L425" t="s">
        <v>894</v>
      </c>
      <c r="M425" t="s">
        <v>33</v>
      </c>
    </row>
    <row r="426" spans="1:13" x14ac:dyDescent="0.35">
      <c r="A426" t="s">
        <v>566</v>
      </c>
      <c r="B426">
        <v>4846311291</v>
      </c>
      <c r="C426">
        <v>4286472793</v>
      </c>
      <c r="D426" t="s">
        <v>13</v>
      </c>
      <c r="E426" s="7">
        <v>435</v>
      </c>
      <c r="F426" s="7">
        <v>435</v>
      </c>
      <c r="G426" s="7">
        <v>0</v>
      </c>
      <c r="H426" t="s">
        <v>70</v>
      </c>
      <c r="I426" t="s">
        <v>71</v>
      </c>
      <c r="J426" t="s">
        <v>22</v>
      </c>
      <c r="K426" t="s">
        <v>16</v>
      </c>
      <c r="L426" t="s">
        <v>16</v>
      </c>
      <c r="M426" t="s">
        <v>17</v>
      </c>
    </row>
    <row r="427" spans="1:13" x14ac:dyDescent="0.35">
      <c r="A427" t="s">
        <v>567</v>
      </c>
      <c r="B427">
        <v>8015513971</v>
      </c>
      <c r="C427">
        <v>6826409995</v>
      </c>
      <c r="D427" t="s">
        <v>30</v>
      </c>
      <c r="E427" s="7">
        <v>471</v>
      </c>
      <c r="F427" s="7">
        <v>471</v>
      </c>
      <c r="G427" s="7">
        <v>0</v>
      </c>
      <c r="H427" t="s">
        <v>35</v>
      </c>
      <c r="I427" t="s">
        <v>317</v>
      </c>
      <c r="J427" t="s">
        <v>26</v>
      </c>
      <c r="K427" t="s">
        <v>27</v>
      </c>
      <c r="L427" t="s">
        <v>16</v>
      </c>
      <c r="M427" t="s">
        <v>33</v>
      </c>
    </row>
    <row r="428" spans="1:13" x14ac:dyDescent="0.35">
      <c r="A428" t="s">
        <v>568</v>
      </c>
      <c r="B428">
        <v>2737167116</v>
      </c>
      <c r="C428">
        <v>115695487</v>
      </c>
      <c r="D428" t="s">
        <v>13</v>
      </c>
      <c r="E428" s="7">
        <v>197</v>
      </c>
      <c r="F428" s="7">
        <v>0</v>
      </c>
      <c r="G428" s="7">
        <v>197</v>
      </c>
      <c r="H428" t="s">
        <v>70</v>
      </c>
      <c r="I428" t="s">
        <v>157</v>
      </c>
      <c r="J428" t="s">
        <v>43</v>
      </c>
      <c r="K428" t="s">
        <v>0</v>
      </c>
      <c r="L428" t="s">
        <v>0</v>
      </c>
      <c r="M428" t="s">
        <v>51</v>
      </c>
    </row>
    <row r="429" spans="1:13" x14ac:dyDescent="0.35">
      <c r="A429" t="s">
        <v>569</v>
      </c>
      <c r="B429">
        <v>900909046</v>
      </c>
      <c r="C429">
        <v>1898190273</v>
      </c>
      <c r="D429" t="s">
        <v>13</v>
      </c>
      <c r="E429" s="7">
        <v>429</v>
      </c>
      <c r="F429" s="7">
        <v>429</v>
      </c>
      <c r="G429" s="7">
        <v>0</v>
      </c>
      <c r="H429" t="s">
        <v>38</v>
      </c>
      <c r="I429" t="s">
        <v>92</v>
      </c>
      <c r="J429" t="s">
        <v>43</v>
      </c>
      <c r="K429" t="s">
        <v>27</v>
      </c>
      <c r="L429" t="s">
        <v>16</v>
      </c>
      <c r="M429" t="s">
        <v>33</v>
      </c>
    </row>
    <row r="430" spans="1:13" x14ac:dyDescent="0.35">
      <c r="A430" t="s">
        <v>570</v>
      </c>
      <c r="B430">
        <v>5054894467</v>
      </c>
      <c r="C430">
        <v>6819368866</v>
      </c>
      <c r="D430" t="s">
        <v>19</v>
      </c>
      <c r="E430" s="7">
        <v>471</v>
      </c>
      <c r="F430" s="7">
        <v>326</v>
      </c>
      <c r="G430" s="7">
        <v>145</v>
      </c>
      <c r="H430" t="s">
        <v>56</v>
      </c>
      <c r="I430" t="s">
        <v>109</v>
      </c>
      <c r="J430" t="s">
        <v>43</v>
      </c>
      <c r="K430" t="s">
        <v>27</v>
      </c>
      <c r="L430" t="s">
        <v>894</v>
      </c>
      <c r="M430" t="s">
        <v>51</v>
      </c>
    </row>
    <row r="431" spans="1:13" x14ac:dyDescent="0.35">
      <c r="A431" t="s">
        <v>571</v>
      </c>
      <c r="B431">
        <v>561071554</v>
      </c>
      <c r="C431">
        <v>7617204467</v>
      </c>
      <c r="D431" t="s">
        <v>67</v>
      </c>
      <c r="E431" s="7">
        <v>443</v>
      </c>
      <c r="F431" s="7">
        <v>290</v>
      </c>
      <c r="G431" s="7">
        <v>153</v>
      </c>
      <c r="H431" t="s">
        <v>38</v>
      </c>
      <c r="I431" t="s">
        <v>215</v>
      </c>
      <c r="J431" t="s">
        <v>22</v>
      </c>
      <c r="K431" t="s">
        <v>0</v>
      </c>
      <c r="L431" t="s">
        <v>894</v>
      </c>
      <c r="M431" t="s">
        <v>58</v>
      </c>
    </row>
    <row r="432" spans="1:13" x14ac:dyDescent="0.35">
      <c r="A432" t="s">
        <v>572</v>
      </c>
      <c r="B432">
        <v>502081268</v>
      </c>
      <c r="C432">
        <v>6436699574</v>
      </c>
      <c r="D432" t="s">
        <v>13</v>
      </c>
      <c r="E432" s="7">
        <v>493</v>
      </c>
      <c r="F432" s="7">
        <v>493</v>
      </c>
      <c r="G432" s="7">
        <v>0</v>
      </c>
      <c r="H432" t="s">
        <v>14</v>
      </c>
      <c r="I432" t="s">
        <v>85</v>
      </c>
      <c r="J432" t="s">
        <v>26</v>
      </c>
      <c r="K432" t="s">
        <v>16</v>
      </c>
      <c r="L432" t="s">
        <v>16</v>
      </c>
      <c r="M432" t="s">
        <v>17</v>
      </c>
    </row>
    <row r="433" spans="1:13" x14ac:dyDescent="0.35">
      <c r="A433" t="s">
        <v>573</v>
      </c>
      <c r="B433">
        <v>8172075253</v>
      </c>
      <c r="C433">
        <v>7580524370</v>
      </c>
      <c r="D433" t="s">
        <v>19</v>
      </c>
      <c r="E433" s="7">
        <v>368</v>
      </c>
      <c r="F433" s="7">
        <v>0</v>
      </c>
      <c r="G433" s="7">
        <v>368</v>
      </c>
      <c r="H433" t="s">
        <v>38</v>
      </c>
      <c r="I433" t="s">
        <v>173</v>
      </c>
      <c r="J433" t="s">
        <v>22</v>
      </c>
      <c r="K433" t="s">
        <v>27</v>
      </c>
      <c r="L433" t="s">
        <v>0</v>
      </c>
      <c r="M433" t="s">
        <v>40</v>
      </c>
    </row>
    <row r="434" spans="1:13" x14ac:dyDescent="0.35">
      <c r="A434" t="s">
        <v>574</v>
      </c>
      <c r="B434">
        <v>5629941385</v>
      </c>
      <c r="C434">
        <v>3025164227</v>
      </c>
      <c r="D434" t="s">
        <v>13</v>
      </c>
      <c r="E434" s="7">
        <v>326</v>
      </c>
      <c r="F434" s="7">
        <v>326</v>
      </c>
      <c r="G434" s="7">
        <v>0</v>
      </c>
      <c r="H434" t="s">
        <v>14</v>
      </c>
      <c r="I434" t="s">
        <v>180</v>
      </c>
      <c r="J434" t="s">
        <v>26</v>
      </c>
      <c r="K434" t="s">
        <v>16</v>
      </c>
      <c r="L434" t="s">
        <v>16</v>
      </c>
      <c r="M434" t="s">
        <v>17</v>
      </c>
    </row>
    <row r="435" spans="1:13" x14ac:dyDescent="0.35">
      <c r="A435" t="s">
        <v>575</v>
      </c>
      <c r="B435">
        <v>2995444435</v>
      </c>
      <c r="C435">
        <v>3549654697</v>
      </c>
      <c r="D435" t="s">
        <v>24</v>
      </c>
      <c r="E435" s="7">
        <v>207</v>
      </c>
      <c r="F435" s="7">
        <v>0</v>
      </c>
      <c r="G435" s="7">
        <v>207</v>
      </c>
      <c r="H435" t="s">
        <v>56</v>
      </c>
      <c r="I435" t="s">
        <v>78</v>
      </c>
      <c r="J435" t="s">
        <v>26</v>
      </c>
      <c r="K435" t="s">
        <v>0</v>
      </c>
      <c r="L435" t="s">
        <v>0</v>
      </c>
      <c r="M435" t="s">
        <v>44</v>
      </c>
    </row>
    <row r="436" spans="1:13" x14ac:dyDescent="0.35">
      <c r="A436" t="s">
        <v>576</v>
      </c>
      <c r="B436">
        <v>6278506546</v>
      </c>
      <c r="C436">
        <v>5705971438</v>
      </c>
      <c r="D436" t="s">
        <v>13</v>
      </c>
      <c r="E436" s="7">
        <v>396</v>
      </c>
      <c r="F436" s="7">
        <v>396</v>
      </c>
      <c r="G436" s="7">
        <v>0</v>
      </c>
      <c r="H436" t="s">
        <v>14</v>
      </c>
      <c r="I436" t="s">
        <v>50</v>
      </c>
      <c r="J436" t="s">
        <v>26</v>
      </c>
      <c r="K436" t="s">
        <v>16</v>
      </c>
      <c r="L436" t="s">
        <v>16</v>
      </c>
      <c r="M436" t="s">
        <v>17</v>
      </c>
    </row>
    <row r="437" spans="1:13" x14ac:dyDescent="0.35">
      <c r="A437" t="s">
        <v>577</v>
      </c>
      <c r="B437">
        <v>249680647</v>
      </c>
      <c r="C437">
        <v>3489632150</v>
      </c>
      <c r="D437" t="s">
        <v>30</v>
      </c>
      <c r="E437" s="7">
        <v>119</v>
      </c>
      <c r="F437" s="7">
        <v>119</v>
      </c>
      <c r="G437" s="7">
        <v>0</v>
      </c>
      <c r="H437" t="s">
        <v>80</v>
      </c>
      <c r="I437" t="s">
        <v>494</v>
      </c>
      <c r="J437" t="s">
        <v>22</v>
      </c>
      <c r="K437" t="s">
        <v>16</v>
      </c>
      <c r="L437" t="s">
        <v>16</v>
      </c>
      <c r="M437" t="s">
        <v>17</v>
      </c>
    </row>
    <row r="438" spans="1:13" x14ac:dyDescent="0.35">
      <c r="A438" t="s">
        <v>578</v>
      </c>
      <c r="B438">
        <v>2823816539</v>
      </c>
      <c r="C438">
        <v>9126114282</v>
      </c>
      <c r="D438" t="s">
        <v>19</v>
      </c>
      <c r="E438" s="7">
        <v>482</v>
      </c>
      <c r="F438" s="7">
        <v>482</v>
      </c>
      <c r="G438" s="7">
        <v>0</v>
      </c>
      <c r="H438" t="s">
        <v>70</v>
      </c>
      <c r="I438" t="s">
        <v>105</v>
      </c>
      <c r="J438" t="s">
        <v>43</v>
      </c>
      <c r="K438" t="s">
        <v>16</v>
      </c>
      <c r="L438" t="s">
        <v>16</v>
      </c>
      <c r="M438" t="s">
        <v>17</v>
      </c>
    </row>
    <row r="439" spans="1:13" x14ac:dyDescent="0.35">
      <c r="A439" t="s">
        <v>579</v>
      </c>
      <c r="B439">
        <v>8914853699</v>
      </c>
      <c r="C439">
        <v>3191106842</v>
      </c>
      <c r="D439" t="s">
        <v>24</v>
      </c>
      <c r="E439" s="7">
        <v>355</v>
      </c>
      <c r="F439" s="7">
        <v>355</v>
      </c>
      <c r="G439" s="7">
        <v>0</v>
      </c>
      <c r="H439" t="s">
        <v>80</v>
      </c>
      <c r="I439" t="s">
        <v>96</v>
      </c>
      <c r="J439" t="s">
        <v>43</v>
      </c>
      <c r="K439" t="s">
        <v>27</v>
      </c>
      <c r="L439" t="s">
        <v>16</v>
      </c>
      <c r="M439" t="s">
        <v>58</v>
      </c>
    </row>
    <row r="440" spans="1:13" x14ac:dyDescent="0.35">
      <c r="A440" t="s">
        <v>580</v>
      </c>
      <c r="B440">
        <v>2925593047</v>
      </c>
      <c r="C440">
        <v>2123404033</v>
      </c>
      <c r="D440" t="s">
        <v>67</v>
      </c>
      <c r="E440" s="7">
        <v>116</v>
      </c>
      <c r="F440" s="7">
        <v>116</v>
      </c>
      <c r="G440" s="7">
        <v>0</v>
      </c>
      <c r="H440" t="s">
        <v>35</v>
      </c>
      <c r="I440" t="s">
        <v>419</v>
      </c>
      <c r="J440" t="s">
        <v>43</v>
      </c>
      <c r="K440" t="s">
        <v>16</v>
      </c>
      <c r="L440" t="s">
        <v>16</v>
      </c>
      <c r="M440" t="s">
        <v>17</v>
      </c>
    </row>
    <row r="441" spans="1:13" x14ac:dyDescent="0.35">
      <c r="A441" t="s">
        <v>581</v>
      </c>
      <c r="B441">
        <v>3289635734</v>
      </c>
      <c r="C441">
        <v>6288939661</v>
      </c>
      <c r="D441" t="s">
        <v>13</v>
      </c>
      <c r="E441" s="7">
        <v>391</v>
      </c>
      <c r="F441" s="7">
        <v>262</v>
      </c>
      <c r="G441" s="7">
        <v>129</v>
      </c>
      <c r="H441" t="s">
        <v>38</v>
      </c>
      <c r="I441" t="s">
        <v>57</v>
      </c>
      <c r="J441" t="s">
        <v>43</v>
      </c>
      <c r="K441" t="s">
        <v>27</v>
      </c>
      <c r="L441" t="s">
        <v>894</v>
      </c>
      <c r="M441" t="s">
        <v>28</v>
      </c>
    </row>
    <row r="442" spans="1:13" x14ac:dyDescent="0.35">
      <c r="A442" t="s">
        <v>582</v>
      </c>
      <c r="B442">
        <v>3325326098</v>
      </c>
      <c r="C442">
        <v>994049002</v>
      </c>
      <c r="D442" t="s">
        <v>19</v>
      </c>
      <c r="E442" s="7">
        <v>459</v>
      </c>
      <c r="F442" s="7">
        <v>459</v>
      </c>
      <c r="G442" s="7">
        <v>0</v>
      </c>
      <c r="H442" t="s">
        <v>99</v>
      </c>
      <c r="I442" t="s">
        <v>112</v>
      </c>
      <c r="J442" t="s">
        <v>43</v>
      </c>
      <c r="K442" t="s">
        <v>27</v>
      </c>
      <c r="L442" t="s">
        <v>16</v>
      </c>
      <c r="M442" t="s">
        <v>55</v>
      </c>
    </row>
    <row r="443" spans="1:13" x14ac:dyDescent="0.35">
      <c r="A443" t="s">
        <v>583</v>
      </c>
      <c r="B443">
        <v>8004223765</v>
      </c>
      <c r="C443">
        <v>4383992454</v>
      </c>
      <c r="D443" t="s">
        <v>24</v>
      </c>
      <c r="E443" s="7">
        <v>470</v>
      </c>
      <c r="F443" s="7">
        <v>470</v>
      </c>
      <c r="G443" s="7">
        <v>0</v>
      </c>
      <c r="H443" t="s">
        <v>20</v>
      </c>
      <c r="I443" t="s">
        <v>110</v>
      </c>
      <c r="J443" t="s">
        <v>43</v>
      </c>
      <c r="K443" t="s">
        <v>27</v>
      </c>
      <c r="L443" t="s">
        <v>16</v>
      </c>
      <c r="M443" t="s">
        <v>44</v>
      </c>
    </row>
    <row r="444" spans="1:13" x14ac:dyDescent="0.35">
      <c r="A444" t="s">
        <v>584</v>
      </c>
      <c r="B444">
        <v>7974497902</v>
      </c>
      <c r="C444">
        <v>8954065677</v>
      </c>
      <c r="D444" t="s">
        <v>67</v>
      </c>
      <c r="E444" s="7">
        <v>123</v>
      </c>
      <c r="F444" s="7">
        <v>123</v>
      </c>
      <c r="G444" s="7">
        <v>0</v>
      </c>
      <c r="H444" t="s">
        <v>14</v>
      </c>
      <c r="I444" t="s">
        <v>134</v>
      </c>
      <c r="J444" t="s">
        <v>43</v>
      </c>
      <c r="K444" t="s">
        <v>0</v>
      </c>
      <c r="L444" t="s">
        <v>16</v>
      </c>
      <c r="M444" t="s">
        <v>40</v>
      </c>
    </row>
    <row r="445" spans="1:13" x14ac:dyDescent="0.35">
      <c r="A445" t="s">
        <v>585</v>
      </c>
      <c r="B445">
        <v>7662969656</v>
      </c>
      <c r="C445">
        <v>7889892835</v>
      </c>
      <c r="D445" t="s">
        <v>13</v>
      </c>
      <c r="E445" s="7">
        <v>307</v>
      </c>
      <c r="F445" s="7">
        <v>307</v>
      </c>
      <c r="G445" s="7">
        <v>0</v>
      </c>
      <c r="H445" t="s">
        <v>70</v>
      </c>
      <c r="I445" t="s">
        <v>128</v>
      </c>
      <c r="J445" t="s">
        <v>22</v>
      </c>
      <c r="K445" t="s">
        <v>16</v>
      </c>
      <c r="L445" t="s">
        <v>16</v>
      </c>
      <c r="M445" t="s">
        <v>17</v>
      </c>
    </row>
    <row r="446" spans="1:13" x14ac:dyDescent="0.35">
      <c r="A446" t="s">
        <v>586</v>
      </c>
      <c r="B446">
        <v>8612329678</v>
      </c>
      <c r="C446">
        <v>4207894962</v>
      </c>
      <c r="D446" t="s">
        <v>19</v>
      </c>
      <c r="E446" s="7">
        <v>264</v>
      </c>
      <c r="F446" s="7">
        <v>198</v>
      </c>
      <c r="G446" s="7">
        <v>66</v>
      </c>
      <c r="H446" t="s">
        <v>80</v>
      </c>
      <c r="I446" t="s">
        <v>74</v>
      </c>
      <c r="J446" t="s">
        <v>22</v>
      </c>
      <c r="K446" t="s">
        <v>0</v>
      </c>
      <c r="L446" t="s">
        <v>894</v>
      </c>
      <c r="M446" t="s">
        <v>126</v>
      </c>
    </row>
    <row r="447" spans="1:13" x14ac:dyDescent="0.35">
      <c r="A447" t="s">
        <v>587</v>
      </c>
      <c r="B447">
        <v>7330837661</v>
      </c>
      <c r="C447">
        <v>9448341013</v>
      </c>
      <c r="D447" t="s">
        <v>67</v>
      </c>
      <c r="E447" s="7">
        <v>307</v>
      </c>
      <c r="F447" s="7">
        <v>174</v>
      </c>
      <c r="G447" s="7">
        <v>133</v>
      </c>
      <c r="H447" t="s">
        <v>14</v>
      </c>
      <c r="I447" t="s">
        <v>68</v>
      </c>
      <c r="J447" t="s">
        <v>26</v>
      </c>
      <c r="K447" t="s">
        <v>27</v>
      </c>
      <c r="L447" t="s">
        <v>894</v>
      </c>
      <c r="M447" t="s">
        <v>33</v>
      </c>
    </row>
    <row r="448" spans="1:13" x14ac:dyDescent="0.35">
      <c r="A448" t="s">
        <v>588</v>
      </c>
      <c r="B448">
        <v>1928620624</v>
      </c>
      <c r="C448">
        <v>7830009734</v>
      </c>
      <c r="D448" t="s">
        <v>13</v>
      </c>
      <c r="E448" s="7">
        <v>154</v>
      </c>
      <c r="F448" s="7">
        <v>121</v>
      </c>
      <c r="G448" s="7">
        <v>33</v>
      </c>
      <c r="H448" t="s">
        <v>20</v>
      </c>
      <c r="I448" t="s">
        <v>494</v>
      </c>
      <c r="J448" t="s">
        <v>43</v>
      </c>
      <c r="K448" t="s">
        <v>0</v>
      </c>
      <c r="L448" t="s">
        <v>894</v>
      </c>
      <c r="M448" t="s">
        <v>44</v>
      </c>
    </row>
    <row r="449" spans="1:13" x14ac:dyDescent="0.35">
      <c r="A449" t="s">
        <v>589</v>
      </c>
      <c r="B449">
        <v>2506904960</v>
      </c>
      <c r="C449">
        <v>5007142488</v>
      </c>
      <c r="D449" t="s">
        <v>30</v>
      </c>
      <c r="E449" s="7">
        <v>400</v>
      </c>
      <c r="F449" s="7">
        <v>400</v>
      </c>
      <c r="G449" s="7">
        <v>0</v>
      </c>
      <c r="H449" t="s">
        <v>70</v>
      </c>
      <c r="I449" t="s">
        <v>42</v>
      </c>
      <c r="J449" t="s">
        <v>43</v>
      </c>
      <c r="K449" t="s">
        <v>16</v>
      </c>
      <c r="L449" t="s">
        <v>16</v>
      </c>
      <c r="M449" t="s">
        <v>17</v>
      </c>
    </row>
    <row r="450" spans="1:13" x14ac:dyDescent="0.35">
      <c r="A450" t="s">
        <v>590</v>
      </c>
      <c r="B450">
        <v>5306270138</v>
      </c>
      <c r="C450">
        <v>7198947816</v>
      </c>
      <c r="D450" t="s">
        <v>19</v>
      </c>
      <c r="E450" s="7">
        <v>224</v>
      </c>
      <c r="F450" s="7">
        <v>224</v>
      </c>
      <c r="G450" s="7">
        <v>0</v>
      </c>
      <c r="H450" t="s">
        <v>31</v>
      </c>
      <c r="I450" t="s">
        <v>180</v>
      </c>
      <c r="J450" t="s">
        <v>22</v>
      </c>
      <c r="K450" t="s">
        <v>16</v>
      </c>
      <c r="L450" t="s">
        <v>16</v>
      </c>
      <c r="M450" t="s">
        <v>17</v>
      </c>
    </row>
    <row r="451" spans="1:13" x14ac:dyDescent="0.35">
      <c r="A451" t="s">
        <v>591</v>
      </c>
      <c r="B451">
        <v>6257670398</v>
      </c>
      <c r="C451">
        <v>3709507276</v>
      </c>
      <c r="D451" t="s">
        <v>19</v>
      </c>
      <c r="E451" s="7">
        <v>371</v>
      </c>
      <c r="F451" s="7">
        <v>371</v>
      </c>
      <c r="G451" s="7">
        <v>0</v>
      </c>
      <c r="H451" t="s">
        <v>38</v>
      </c>
      <c r="I451" t="s">
        <v>306</v>
      </c>
      <c r="J451" t="s">
        <v>43</v>
      </c>
      <c r="K451" t="s">
        <v>16</v>
      </c>
      <c r="L451" t="s">
        <v>16</v>
      </c>
      <c r="M451" t="s">
        <v>17</v>
      </c>
    </row>
    <row r="452" spans="1:13" x14ac:dyDescent="0.35">
      <c r="A452" t="s">
        <v>592</v>
      </c>
      <c r="B452">
        <v>6535583832</v>
      </c>
      <c r="C452">
        <v>8374574966</v>
      </c>
      <c r="D452" t="s">
        <v>19</v>
      </c>
      <c r="E452" s="7">
        <v>120</v>
      </c>
      <c r="F452" s="7">
        <v>120</v>
      </c>
      <c r="G452" s="7">
        <v>0</v>
      </c>
      <c r="H452" t="s">
        <v>14</v>
      </c>
      <c r="I452" t="s">
        <v>201</v>
      </c>
      <c r="J452" t="s">
        <v>43</v>
      </c>
      <c r="K452" t="s">
        <v>16</v>
      </c>
      <c r="L452" t="s">
        <v>16</v>
      </c>
      <c r="M452" t="s">
        <v>17</v>
      </c>
    </row>
    <row r="453" spans="1:13" x14ac:dyDescent="0.35">
      <c r="A453" t="s">
        <v>593</v>
      </c>
      <c r="B453">
        <v>3185929308</v>
      </c>
      <c r="C453">
        <v>8541497946</v>
      </c>
      <c r="D453" t="s">
        <v>19</v>
      </c>
      <c r="E453" s="7">
        <v>184</v>
      </c>
      <c r="F453" s="7">
        <v>184</v>
      </c>
      <c r="G453" s="7">
        <v>0</v>
      </c>
      <c r="H453" t="s">
        <v>35</v>
      </c>
      <c r="I453" t="s">
        <v>78</v>
      </c>
      <c r="J453" t="s">
        <v>22</v>
      </c>
      <c r="K453" t="s">
        <v>27</v>
      </c>
      <c r="L453" t="s">
        <v>16</v>
      </c>
      <c r="M453" t="s">
        <v>126</v>
      </c>
    </row>
    <row r="454" spans="1:13" x14ac:dyDescent="0.35">
      <c r="A454" t="s">
        <v>594</v>
      </c>
      <c r="B454">
        <v>3408573075</v>
      </c>
      <c r="C454">
        <v>5948517708</v>
      </c>
      <c r="D454" t="s">
        <v>13</v>
      </c>
      <c r="E454" s="7">
        <v>405</v>
      </c>
      <c r="F454" s="7">
        <v>405</v>
      </c>
      <c r="G454" s="7">
        <v>0</v>
      </c>
      <c r="H454" t="s">
        <v>99</v>
      </c>
      <c r="I454" t="s">
        <v>46</v>
      </c>
      <c r="J454" t="s">
        <v>22</v>
      </c>
      <c r="K454" t="s">
        <v>16</v>
      </c>
      <c r="L454" t="s">
        <v>16</v>
      </c>
      <c r="M454" t="s">
        <v>17</v>
      </c>
    </row>
    <row r="455" spans="1:13" x14ac:dyDescent="0.35">
      <c r="A455" t="s">
        <v>595</v>
      </c>
      <c r="B455">
        <v>6555966188</v>
      </c>
      <c r="C455">
        <v>5908563382</v>
      </c>
      <c r="D455" t="s">
        <v>30</v>
      </c>
      <c r="E455" s="7">
        <v>291</v>
      </c>
      <c r="F455" s="7">
        <v>291</v>
      </c>
      <c r="G455" s="7">
        <v>0</v>
      </c>
      <c r="H455" t="s">
        <v>70</v>
      </c>
      <c r="I455" t="s">
        <v>107</v>
      </c>
      <c r="J455" t="s">
        <v>43</v>
      </c>
      <c r="K455" t="s">
        <v>16</v>
      </c>
      <c r="L455" t="s">
        <v>16</v>
      </c>
      <c r="M455" t="s">
        <v>17</v>
      </c>
    </row>
    <row r="456" spans="1:13" x14ac:dyDescent="0.35">
      <c r="A456" t="s">
        <v>596</v>
      </c>
      <c r="B456">
        <v>8628491259</v>
      </c>
      <c r="C456">
        <v>2724634866</v>
      </c>
      <c r="D456" t="s">
        <v>67</v>
      </c>
      <c r="E456" s="7">
        <v>362</v>
      </c>
      <c r="F456" s="7">
        <v>0</v>
      </c>
      <c r="G456" s="7">
        <v>362</v>
      </c>
      <c r="H456" t="s">
        <v>38</v>
      </c>
      <c r="I456" t="s">
        <v>189</v>
      </c>
      <c r="J456" t="s">
        <v>43</v>
      </c>
      <c r="K456" t="s">
        <v>27</v>
      </c>
      <c r="L456" t="s">
        <v>0</v>
      </c>
      <c r="M456" t="s">
        <v>44</v>
      </c>
    </row>
    <row r="457" spans="1:13" x14ac:dyDescent="0.35">
      <c r="A457" t="s">
        <v>597</v>
      </c>
      <c r="B457">
        <v>873141871</v>
      </c>
      <c r="C457">
        <v>9133253322</v>
      </c>
      <c r="D457" t="s">
        <v>24</v>
      </c>
      <c r="E457" s="7">
        <v>104</v>
      </c>
      <c r="F457" s="7">
        <v>84</v>
      </c>
      <c r="G457" s="7">
        <v>20</v>
      </c>
      <c r="H457" t="s">
        <v>20</v>
      </c>
      <c r="I457" t="s">
        <v>354</v>
      </c>
      <c r="J457" t="s">
        <v>22</v>
      </c>
      <c r="K457" t="s">
        <v>0</v>
      </c>
      <c r="L457" t="s">
        <v>894</v>
      </c>
      <c r="M457" t="s">
        <v>44</v>
      </c>
    </row>
    <row r="458" spans="1:13" x14ac:dyDescent="0.35">
      <c r="A458" t="s">
        <v>598</v>
      </c>
      <c r="B458">
        <v>5830535227</v>
      </c>
      <c r="C458">
        <v>3690623221</v>
      </c>
      <c r="D458" t="s">
        <v>24</v>
      </c>
      <c r="E458" s="7">
        <v>191</v>
      </c>
      <c r="F458" s="7">
        <v>191</v>
      </c>
      <c r="G458" s="7">
        <v>0</v>
      </c>
      <c r="H458" t="s">
        <v>99</v>
      </c>
      <c r="I458" t="s">
        <v>478</v>
      </c>
      <c r="J458" t="s">
        <v>22</v>
      </c>
      <c r="K458" t="s">
        <v>27</v>
      </c>
      <c r="L458" t="s">
        <v>16</v>
      </c>
      <c r="M458" t="s">
        <v>58</v>
      </c>
    </row>
    <row r="459" spans="1:13" x14ac:dyDescent="0.35">
      <c r="A459" t="s">
        <v>599</v>
      </c>
      <c r="B459">
        <v>1880874731</v>
      </c>
      <c r="C459">
        <v>7753006069</v>
      </c>
      <c r="D459" t="s">
        <v>67</v>
      </c>
      <c r="E459" s="7">
        <v>274</v>
      </c>
      <c r="F459" s="7">
        <v>274</v>
      </c>
      <c r="G459" s="7">
        <v>0</v>
      </c>
      <c r="H459" t="s">
        <v>14</v>
      </c>
      <c r="I459" t="s">
        <v>159</v>
      </c>
      <c r="J459" t="s">
        <v>26</v>
      </c>
      <c r="K459" t="s">
        <v>0</v>
      </c>
      <c r="L459" t="s">
        <v>16</v>
      </c>
      <c r="M459" t="s">
        <v>44</v>
      </c>
    </row>
    <row r="460" spans="1:13" x14ac:dyDescent="0.35">
      <c r="A460" t="s">
        <v>600</v>
      </c>
      <c r="B460">
        <v>9685974415</v>
      </c>
      <c r="C460">
        <v>3445672900</v>
      </c>
      <c r="D460" t="s">
        <v>67</v>
      </c>
      <c r="E460" s="7">
        <v>151</v>
      </c>
      <c r="F460" s="7">
        <v>151</v>
      </c>
      <c r="G460" s="7">
        <v>0</v>
      </c>
      <c r="H460" t="s">
        <v>20</v>
      </c>
      <c r="I460" t="s">
        <v>46</v>
      </c>
      <c r="J460" t="s">
        <v>43</v>
      </c>
      <c r="K460" t="s">
        <v>0</v>
      </c>
      <c r="L460" t="s">
        <v>16</v>
      </c>
      <c r="M460" t="s">
        <v>51</v>
      </c>
    </row>
    <row r="461" spans="1:13" x14ac:dyDescent="0.35">
      <c r="A461" t="s">
        <v>601</v>
      </c>
      <c r="B461">
        <v>8693588722</v>
      </c>
      <c r="C461">
        <v>2482986908</v>
      </c>
      <c r="D461" t="s">
        <v>13</v>
      </c>
      <c r="E461" s="7">
        <v>174</v>
      </c>
      <c r="F461" s="7">
        <v>174</v>
      </c>
      <c r="G461" s="7">
        <v>0</v>
      </c>
      <c r="H461" t="s">
        <v>56</v>
      </c>
      <c r="I461" t="s">
        <v>259</v>
      </c>
      <c r="J461" t="s">
        <v>22</v>
      </c>
      <c r="K461" t="s">
        <v>0</v>
      </c>
      <c r="L461" t="s">
        <v>16</v>
      </c>
      <c r="M461" t="s">
        <v>33</v>
      </c>
    </row>
    <row r="462" spans="1:13" x14ac:dyDescent="0.35">
      <c r="A462" t="s">
        <v>602</v>
      </c>
      <c r="B462">
        <v>6441140176</v>
      </c>
      <c r="C462">
        <v>527465320</v>
      </c>
      <c r="D462" t="s">
        <v>67</v>
      </c>
      <c r="E462" s="7">
        <v>105</v>
      </c>
      <c r="F462" s="7">
        <v>0</v>
      </c>
      <c r="G462" s="7">
        <v>105</v>
      </c>
      <c r="H462" t="s">
        <v>56</v>
      </c>
      <c r="I462" t="s">
        <v>465</v>
      </c>
      <c r="J462" t="s">
        <v>22</v>
      </c>
      <c r="K462" t="s">
        <v>27</v>
      </c>
      <c r="L462" t="s">
        <v>0</v>
      </c>
      <c r="M462" t="s">
        <v>33</v>
      </c>
    </row>
    <row r="463" spans="1:13" x14ac:dyDescent="0.35">
      <c r="A463" t="s">
        <v>603</v>
      </c>
      <c r="B463">
        <v>3748398668</v>
      </c>
      <c r="C463">
        <v>417518310</v>
      </c>
      <c r="D463" t="s">
        <v>19</v>
      </c>
      <c r="E463" s="7">
        <v>493</v>
      </c>
      <c r="F463" s="7">
        <v>493</v>
      </c>
      <c r="G463" s="7">
        <v>0</v>
      </c>
      <c r="H463" t="s">
        <v>20</v>
      </c>
      <c r="I463" t="s">
        <v>86</v>
      </c>
      <c r="J463" t="s">
        <v>22</v>
      </c>
      <c r="K463" t="s">
        <v>16</v>
      </c>
      <c r="L463" t="s">
        <v>16</v>
      </c>
      <c r="M463" t="s">
        <v>17</v>
      </c>
    </row>
    <row r="464" spans="1:13" x14ac:dyDescent="0.35">
      <c r="A464" t="s">
        <v>604</v>
      </c>
      <c r="B464">
        <v>4386831928</v>
      </c>
      <c r="C464">
        <v>15540456</v>
      </c>
      <c r="D464" t="s">
        <v>67</v>
      </c>
      <c r="E464" s="7">
        <v>298</v>
      </c>
      <c r="F464" s="7">
        <v>298</v>
      </c>
      <c r="G464" s="7">
        <v>0</v>
      </c>
      <c r="H464" t="s">
        <v>70</v>
      </c>
      <c r="I464" t="s">
        <v>103</v>
      </c>
      <c r="J464" t="s">
        <v>43</v>
      </c>
      <c r="K464" t="s">
        <v>16</v>
      </c>
      <c r="L464" t="s">
        <v>16</v>
      </c>
      <c r="M464" t="s">
        <v>17</v>
      </c>
    </row>
    <row r="465" spans="1:13" x14ac:dyDescent="0.35">
      <c r="A465" t="s">
        <v>605</v>
      </c>
      <c r="B465">
        <v>3438241742</v>
      </c>
      <c r="C465">
        <v>5613605690</v>
      </c>
      <c r="D465" t="s">
        <v>19</v>
      </c>
      <c r="E465" s="7">
        <v>424</v>
      </c>
      <c r="F465" s="7">
        <v>0</v>
      </c>
      <c r="G465" s="7">
        <v>424</v>
      </c>
      <c r="H465" t="s">
        <v>53</v>
      </c>
      <c r="I465" t="s">
        <v>235</v>
      </c>
      <c r="J465" t="s">
        <v>43</v>
      </c>
      <c r="K465" t="s">
        <v>0</v>
      </c>
      <c r="L465" t="s">
        <v>0</v>
      </c>
      <c r="M465" t="s">
        <v>126</v>
      </c>
    </row>
    <row r="466" spans="1:13" x14ac:dyDescent="0.35">
      <c r="A466" t="s">
        <v>606</v>
      </c>
      <c r="B466">
        <v>1092051342</v>
      </c>
      <c r="C466">
        <v>190298505</v>
      </c>
      <c r="D466" t="s">
        <v>30</v>
      </c>
      <c r="E466" s="7">
        <v>121</v>
      </c>
      <c r="F466" s="7">
        <v>121</v>
      </c>
      <c r="G466" s="7">
        <v>0</v>
      </c>
      <c r="H466" t="s">
        <v>99</v>
      </c>
      <c r="I466" t="s">
        <v>46</v>
      </c>
      <c r="J466" t="s">
        <v>22</v>
      </c>
      <c r="K466" t="s">
        <v>0</v>
      </c>
      <c r="L466" t="s">
        <v>16</v>
      </c>
      <c r="M466" t="s">
        <v>40</v>
      </c>
    </row>
    <row r="467" spans="1:13" x14ac:dyDescent="0.35">
      <c r="A467" t="s">
        <v>607</v>
      </c>
      <c r="B467">
        <v>4641711313</v>
      </c>
      <c r="C467">
        <v>1857910463</v>
      </c>
      <c r="D467" t="s">
        <v>19</v>
      </c>
      <c r="E467" s="7">
        <v>165</v>
      </c>
      <c r="F467" s="7">
        <v>165</v>
      </c>
      <c r="G467" s="7">
        <v>0</v>
      </c>
      <c r="H467" t="s">
        <v>38</v>
      </c>
      <c r="I467" t="s">
        <v>465</v>
      </c>
      <c r="J467" t="s">
        <v>26</v>
      </c>
      <c r="K467" t="s">
        <v>0</v>
      </c>
      <c r="L467" t="s">
        <v>16</v>
      </c>
      <c r="M467" t="s">
        <v>40</v>
      </c>
    </row>
    <row r="468" spans="1:13" x14ac:dyDescent="0.35">
      <c r="A468" t="s">
        <v>608</v>
      </c>
      <c r="B468">
        <v>2227575907</v>
      </c>
      <c r="C468">
        <v>3110430334</v>
      </c>
      <c r="D468" t="s">
        <v>19</v>
      </c>
      <c r="E468" s="7">
        <v>237</v>
      </c>
      <c r="F468" s="7">
        <v>237</v>
      </c>
      <c r="G468" s="7">
        <v>0</v>
      </c>
      <c r="H468" t="s">
        <v>53</v>
      </c>
      <c r="I468" t="s">
        <v>254</v>
      </c>
      <c r="J468" t="s">
        <v>43</v>
      </c>
      <c r="K468" t="s">
        <v>0</v>
      </c>
      <c r="L468" t="s">
        <v>16</v>
      </c>
      <c r="M468" t="s">
        <v>51</v>
      </c>
    </row>
    <row r="469" spans="1:13" x14ac:dyDescent="0.35">
      <c r="A469" t="s">
        <v>609</v>
      </c>
      <c r="B469">
        <v>2363625454</v>
      </c>
      <c r="C469">
        <v>2756457356</v>
      </c>
      <c r="D469" t="s">
        <v>30</v>
      </c>
      <c r="E469" s="7">
        <v>357</v>
      </c>
      <c r="F469" s="7">
        <v>215</v>
      </c>
      <c r="G469" s="7">
        <v>142</v>
      </c>
      <c r="H469" t="s">
        <v>99</v>
      </c>
      <c r="I469" t="s">
        <v>86</v>
      </c>
      <c r="J469" t="s">
        <v>43</v>
      </c>
      <c r="K469" t="s">
        <v>27</v>
      </c>
      <c r="L469" t="s">
        <v>894</v>
      </c>
      <c r="M469" t="s">
        <v>33</v>
      </c>
    </row>
    <row r="470" spans="1:13" x14ac:dyDescent="0.35">
      <c r="A470" t="s">
        <v>610</v>
      </c>
      <c r="B470">
        <v>7621560419</v>
      </c>
      <c r="C470">
        <v>283562478</v>
      </c>
      <c r="D470" t="s">
        <v>24</v>
      </c>
      <c r="E470" s="7">
        <v>312</v>
      </c>
      <c r="F470" s="7">
        <v>223</v>
      </c>
      <c r="G470" s="7">
        <v>89</v>
      </c>
      <c r="H470" t="s">
        <v>14</v>
      </c>
      <c r="I470" t="s">
        <v>96</v>
      </c>
      <c r="J470" t="s">
        <v>22</v>
      </c>
      <c r="K470" t="s">
        <v>0</v>
      </c>
      <c r="L470" t="s">
        <v>894</v>
      </c>
      <c r="M470" t="s">
        <v>33</v>
      </c>
    </row>
    <row r="471" spans="1:13" x14ac:dyDescent="0.35">
      <c r="A471" t="s">
        <v>611</v>
      </c>
      <c r="B471">
        <v>371140982</v>
      </c>
      <c r="C471">
        <v>3812698250</v>
      </c>
      <c r="D471" t="s">
        <v>67</v>
      </c>
      <c r="E471" s="7">
        <v>193</v>
      </c>
      <c r="F471" s="7">
        <v>193</v>
      </c>
      <c r="G471" s="7">
        <v>0</v>
      </c>
      <c r="H471" t="s">
        <v>53</v>
      </c>
      <c r="I471" t="s">
        <v>199</v>
      </c>
      <c r="J471" t="s">
        <v>26</v>
      </c>
      <c r="K471" t="s">
        <v>27</v>
      </c>
      <c r="L471" t="s">
        <v>16</v>
      </c>
      <c r="M471" t="s">
        <v>40</v>
      </c>
    </row>
    <row r="472" spans="1:13" x14ac:dyDescent="0.35">
      <c r="A472" t="s">
        <v>612</v>
      </c>
      <c r="B472">
        <v>2282786646</v>
      </c>
      <c r="C472">
        <v>892102986</v>
      </c>
      <c r="D472" t="s">
        <v>30</v>
      </c>
      <c r="E472" s="7">
        <v>438</v>
      </c>
      <c r="F472" s="7">
        <v>438</v>
      </c>
      <c r="G472" s="7">
        <v>0</v>
      </c>
      <c r="H472" t="s">
        <v>99</v>
      </c>
      <c r="I472" t="s">
        <v>71</v>
      </c>
      <c r="J472" t="s">
        <v>22</v>
      </c>
      <c r="K472" t="s">
        <v>27</v>
      </c>
      <c r="L472" t="s">
        <v>16</v>
      </c>
      <c r="M472" t="s">
        <v>55</v>
      </c>
    </row>
    <row r="473" spans="1:13" x14ac:dyDescent="0.35">
      <c r="A473" t="s">
        <v>613</v>
      </c>
      <c r="B473">
        <v>440570556</v>
      </c>
      <c r="C473">
        <v>4500481435</v>
      </c>
      <c r="D473" t="s">
        <v>19</v>
      </c>
      <c r="E473" s="7">
        <v>212</v>
      </c>
      <c r="F473" s="7">
        <v>0</v>
      </c>
      <c r="G473" s="7">
        <v>212</v>
      </c>
      <c r="H473" t="s">
        <v>53</v>
      </c>
      <c r="I473" t="s">
        <v>81</v>
      </c>
      <c r="J473" t="s">
        <v>26</v>
      </c>
      <c r="K473" t="s">
        <v>27</v>
      </c>
      <c r="L473" t="s">
        <v>0</v>
      </c>
      <c r="M473" t="s">
        <v>40</v>
      </c>
    </row>
    <row r="474" spans="1:13" x14ac:dyDescent="0.35">
      <c r="A474" t="s">
        <v>614</v>
      </c>
      <c r="B474">
        <v>8956729310</v>
      </c>
      <c r="C474">
        <v>2026001261</v>
      </c>
      <c r="D474" t="s">
        <v>13</v>
      </c>
      <c r="E474" s="7">
        <v>314</v>
      </c>
      <c r="F474" s="7">
        <v>314</v>
      </c>
      <c r="G474" s="7">
        <v>0</v>
      </c>
      <c r="H474" t="s">
        <v>31</v>
      </c>
      <c r="I474" t="s">
        <v>109</v>
      </c>
      <c r="J474" t="s">
        <v>26</v>
      </c>
      <c r="K474" t="s">
        <v>16</v>
      </c>
      <c r="L474" t="s">
        <v>16</v>
      </c>
      <c r="M474" t="s">
        <v>17</v>
      </c>
    </row>
    <row r="475" spans="1:13" x14ac:dyDescent="0.35">
      <c r="A475" t="s">
        <v>615</v>
      </c>
      <c r="B475">
        <v>1541479927</v>
      </c>
      <c r="C475">
        <v>2059927708</v>
      </c>
      <c r="D475" t="s">
        <v>19</v>
      </c>
      <c r="E475" s="7">
        <v>407</v>
      </c>
      <c r="F475" s="7">
        <v>407</v>
      </c>
      <c r="G475" s="7">
        <v>0</v>
      </c>
      <c r="H475" t="s">
        <v>38</v>
      </c>
      <c r="I475" t="s">
        <v>159</v>
      </c>
      <c r="J475" t="s">
        <v>22</v>
      </c>
      <c r="K475" t="s">
        <v>16</v>
      </c>
      <c r="L475" t="s">
        <v>16</v>
      </c>
      <c r="M475" t="s">
        <v>17</v>
      </c>
    </row>
    <row r="476" spans="1:13" x14ac:dyDescent="0.35">
      <c r="A476" t="s">
        <v>616</v>
      </c>
      <c r="B476">
        <v>4031482272</v>
      </c>
      <c r="C476">
        <v>6838754017</v>
      </c>
      <c r="D476" t="s">
        <v>19</v>
      </c>
      <c r="E476" s="7">
        <v>496</v>
      </c>
      <c r="F476" s="7">
        <v>402</v>
      </c>
      <c r="G476" s="7">
        <v>94</v>
      </c>
      <c r="H476" t="s">
        <v>99</v>
      </c>
      <c r="I476" t="s">
        <v>54</v>
      </c>
      <c r="J476" t="s">
        <v>43</v>
      </c>
      <c r="K476" t="s">
        <v>0</v>
      </c>
      <c r="L476" t="s">
        <v>894</v>
      </c>
      <c r="M476" t="s">
        <v>44</v>
      </c>
    </row>
    <row r="477" spans="1:13" x14ac:dyDescent="0.35">
      <c r="A477" t="s">
        <v>617</v>
      </c>
      <c r="B477">
        <v>2380747740</v>
      </c>
      <c r="C477">
        <v>2943869904</v>
      </c>
      <c r="D477" t="s">
        <v>19</v>
      </c>
      <c r="E477" s="7">
        <v>389</v>
      </c>
      <c r="F477" s="7">
        <v>389</v>
      </c>
      <c r="G477" s="7">
        <v>0</v>
      </c>
      <c r="H477" t="s">
        <v>31</v>
      </c>
      <c r="I477" t="s">
        <v>72</v>
      </c>
      <c r="J477" t="s">
        <v>43</v>
      </c>
      <c r="K477" t="s">
        <v>16</v>
      </c>
      <c r="L477" t="s">
        <v>16</v>
      </c>
      <c r="M477" t="s">
        <v>17</v>
      </c>
    </row>
    <row r="478" spans="1:13" x14ac:dyDescent="0.35">
      <c r="A478" t="s">
        <v>618</v>
      </c>
      <c r="B478">
        <v>5970964660</v>
      </c>
      <c r="C478">
        <v>8781592521</v>
      </c>
      <c r="D478" t="s">
        <v>13</v>
      </c>
      <c r="E478" s="7">
        <v>416</v>
      </c>
      <c r="F478" s="7">
        <v>0</v>
      </c>
      <c r="G478" s="7">
        <v>416</v>
      </c>
      <c r="H478" t="s">
        <v>56</v>
      </c>
      <c r="I478" t="s">
        <v>239</v>
      </c>
      <c r="J478" t="s">
        <v>22</v>
      </c>
      <c r="K478" t="s">
        <v>0</v>
      </c>
      <c r="L478" t="s">
        <v>0</v>
      </c>
      <c r="M478" t="s">
        <v>44</v>
      </c>
    </row>
    <row r="479" spans="1:13" x14ac:dyDescent="0.35">
      <c r="A479" t="s">
        <v>619</v>
      </c>
      <c r="B479">
        <v>1223197762</v>
      </c>
      <c r="C479">
        <v>7485165315</v>
      </c>
      <c r="D479" t="s">
        <v>30</v>
      </c>
      <c r="E479" s="7">
        <v>457</v>
      </c>
      <c r="F479" s="7">
        <v>457</v>
      </c>
      <c r="G479" s="7">
        <v>0</v>
      </c>
      <c r="H479" t="s">
        <v>31</v>
      </c>
      <c r="I479" t="s">
        <v>317</v>
      </c>
      <c r="J479" t="s">
        <v>22</v>
      </c>
      <c r="K479" t="s">
        <v>0</v>
      </c>
      <c r="L479" t="s">
        <v>16</v>
      </c>
      <c r="M479" t="s">
        <v>40</v>
      </c>
    </row>
    <row r="480" spans="1:13" x14ac:dyDescent="0.35">
      <c r="A480" t="s">
        <v>620</v>
      </c>
      <c r="B480">
        <v>2101472532</v>
      </c>
      <c r="C480">
        <v>568029226</v>
      </c>
      <c r="D480" t="s">
        <v>24</v>
      </c>
      <c r="E480" s="7">
        <v>344</v>
      </c>
      <c r="F480" s="7">
        <v>0</v>
      </c>
      <c r="G480" s="7">
        <v>344</v>
      </c>
      <c r="H480" t="s">
        <v>35</v>
      </c>
      <c r="I480" t="s">
        <v>46</v>
      </c>
      <c r="J480" t="s">
        <v>22</v>
      </c>
      <c r="K480" t="s">
        <v>27</v>
      </c>
      <c r="L480" t="s">
        <v>0</v>
      </c>
      <c r="M480" t="s">
        <v>58</v>
      </c>
    </row>
    <row r="481" spans="1:13" x14ac:dyDescent="0.35">
      <c r="A481" t="s">
        <v>621</v>
      </c>
      <c r="B481">
        <v>7357410289</v>
      </c>
      <c r="C481">
        <v>5465259486</v>
      </c>
      <c r="D481" t="s">
        <v>24</v>
      </c>
      <c r="E481" s="7">
        <v>106</v>
      </c>
      <c r="F481" s="7">
        <v>0</v>
      </c>
      <c r="G481" s="7">
        <v>106</v>
      </c>
      <c r="H481" t="s">
        <v>31</v>
      </c>
      <c r="I481" t="s">
        <v>90</v>
      </c>
      <c r="J481" t="s">
        <v>43</v>
      </c>
      <c r="K481" t="s">
        <v>27</v>
      </c>
      <c r="L481" t="s">
        <v>0</v>
      </c>
      <c r="M481" t="s">
        <v>28</v>
      </c>
    </row>
    <row r="482" spans="1:13" x14ac:dyDescent="0.35">
      <c r="A482" t="s">
        <v>622</v>
      </c>
      <c r="B482">
        <v>7903690830</v>
      </c>
      <c r="C482">
        <v>1990470696</v>
      </c>
      <c r="D482" t="s">
        <v>13</v>
      </c>
      <c r="E482" s="7">
        <v>211</v>
      </c>
      <c r="F482" s="7">
        <v>211</v>
      </c>
      <c r="G482" s="7">
        <v>0</v>
      </c>
      <c r="H482" t="s">
        <v>80</v>
      </c>
      <c r="I482" t="s">
        <v>259</v>
      </c>
      <c r="J482" t="s">
        <v>43</v>
      </c>
      <c r="K482" t="s">
        <v>16</v>
      </c>
      <c r="L482" t="s">
        <v>16</v>
      </c>
      <c r="M482" t="s">
        <v>17</v>
      </c>
    </row>
    <row r="483" spans="1:13" x14ac:dyDescent="0.35">
      <c r="A483" t="s">
        <v>623</v>
      </c>
      <c r="B483">
        <v>3865843017</v>
      </c>
      <c r="C483">
        <v>9539233165</v>
      </c>
      <c r="D483" t="s">
        <v>30</v>
      </c>
      <c r="E483" s="7">
        <v>203</v>
      </c>
      <c r="F483" s="7">
        <v>203</v>
      </c>
      <c r="G483" s="7">
        <v>0</v>
      </c>
      <c r="H483" t="s">
        <v>70</v>
      </c>
      <c r="I483" t="s">
        <v>254</v>
      </c>
      <c r="J483" t="s">
        <v>22</v>
      </c>
      <c r="K483" t="s">
        <v>16</v>
      </c>
      <c r="L483" t="s">
        <v>16</v>
      </c>
      <c r="M483" t="s">
        <v>17</v>
      </c>
    </row>
    <row r="484" spans="1:13" x14ac:dyDescent="0.35">
      <c r="A484" t="s">
        <v>624</v>
      </c>
      <c r="B484">
        <v>2580747102</v>
      </c>
      <c r="C484">
        <v>6998428852</v>
      </c>
      <c r="D484" t="s">
        <v>13</v>
      </c>
      <c r="E484" s="7">
        <v>233</v>
      </c>
      <c r="F484" s="7">
        <v>163</v>
      </c>
      <c r="G484" s="7">
        <v>70</v>
      </c>
      <c r="H484" t="s">
        <v>53</v>
      </c>
      <c r="I484" t="s">
        <v>63</v>
      </c>
      <c r="J484" t="s">
        <v>22</v>
      </c>
      <c r="K484" t="s">
        <v>27</v>
      </c>
      <c r="L484" t="s">
        <v>894</v>
      </c>
      <c r="M484" t="s">
        <v>28</v>
      </c>
    </row>
    <row r="485" spans="1:13" x14ac:dyDescent="0.35">
      <c r="A485" t="s">
        <v>625</v>
      </c>
      <c r="B485">
        <v>8399454678</v>
      </c>
      <c r="C485">
        <v>9877119289</v>
      </c>
      <c r="D485" t="s">
        <v>67</v>
      </c>
      <c r="E485" s="7">
        <v>409</v>
      </c>
      <c r="F485" s="7">
        <v>409</v>
      </c>
      <c r="G485" s="7">
        <v>0</v>
      </c>
      <c r="H485" t="s">
        <v>99</v>
      </c>
      <c r="I485" t="s">
        <v>180</v>
      </c>
      <c r="J485" t="s">
        <v>26</v>
      </c>
      <c r="K485" t="s">
        <v>16</v>
      </c>
      <c r="L485" t="s">
        <v>16</v>
      </c>
      <c r="M485" t="s">
        <v>17</v>
      </c>
    </row>
    <row r="486" spans="1:13" x14ac:dyDescent="0.35">
      <c r="A486" t="s">
        <v>626</v>
      </c>
      <c r="B486">
        <v>3503207313</v>
      </c>
      <c r="C486">
        <v>7834420809</v>
      </c>
      <c r="D486" t="s">
        <v>13</v>
      </c>
      <c r="E486" s="7">
        <v>465</v>
      </c>
      <c r="F486" s="7">
        <v>0</v>
      </c>
      <c r="G486" s="7">
        <v>465</v>
      </c>
      <c r="H486" t="s">
        <v>20</v>
      </c>
      <c r="I486" t="s">
        <v>268</v>
      </c>
      <c r="J486" t="s">
        <v>22</v>
      </c>
      <c r="K486" t="s">
        <v>0</v>
      </c>
      <c r="L486" t="s">
        <v>0</v>
      </c>
      <c r="M486" t="s">
        <v>51</v>
      </c>
    </row>
    <row r="487" spans="1:13" x14ac:dyDescent="0.35">
      <c r="A487" t="s">
        <v>627</v>
      </c>
      <c r="B487">
        <v>5161867397</v>
      </c>
      <c r="C487">
        <v>2811006176</v>
      </c>
      <c r="D487" t="s">
        <v>24</v>
      </c>
      <c r="E487" s="7">
        <v>406</v>
      </c>
      <c r="F487" s="7">
        <v>0</v>
      </c>
      <c r="G487" s="7">
        <v>406</v>
      </c>
      <c r="H487" t="s">
        <v>14</v>
      </c>
      <c r="I487" t="s">
        <v>199</v>
      </c>
      <c r="J487" t="s">
        <v>43</v>
      </c>
      <c r="K487" t="s">
        <v>27</v>
      </c>
      <c r="L487" t="s">
        <v>0</v>
      </c>
      <c r="M487" t="s">
        <v>126</v>
      </c>
    </row>
    <row r="488" spans="1:13" x14ac:dyDescent="0.35">
      <c r="A488" t="s">
        <v>628</v>
      </c>
      <c r="B488">
        <v>8942646135</v>
      </c>
      <c r="C488">
        <v>4077794287</v>
      </c>
      <c r="D488" t="s">
        <v>67</v>
      </c>
      <c r="E488" s="7">
        <v>237</v>
      </c>
      <c r="F488" s="7">
        <v>237</v>
      </c>
      <c r="G488" s="7">
        <v>0</v>
      </c>
      <c r="H488" t="s">
        <v>53</v>
      </c>
      <c r="I488" t="s">
        <v>149</v>
      </c>
      <c r="J488" t="s">
        <v>43</v>
      </c>
      <c r="K488" t="s">
        <v>27</v>
      </c>
      <c r="L488" t="s">
        <v>16</v>
      </c>
      <c r="M488" t="s">
        <v>33</v>
      </c>
    </row>
    <row r="489" spans="1:13" x14ac:dyDescent="0.35">
      <c r="A489" t="s">
        <v>629</v>
      </c>
      <c r="B489">
        <v>8853064848</v>
      </c>
      <c r="C489">
        <v>4283750973</v>
      </c>
      <c r="D489" t="s">
        <v>13</v>
      </c>
      <c r="E489" s="7">
        <v>388</v>
      </c>
      <c r="F489" s="7">
        <v>246</v>
      </c>
      <c r="G489" s="7">
        <v>142</v>
      </c>
      <c r="H489" t="s">
        <v>20</v>
      </c>
      <c r="I489" t="s">
        <v>180</v>
      </c>
      <c r="J489" t="s">
        <v>22</v>
      </c>
      <c r="K489" t="s">
        <v>0</v>
      </c>
      <c r="L489" t="s">
        <v>894</v>
      </c>
      <c r="M489" t="s">
        <v>33</v>
      </c>
    </row>
    <row r="490" spans="1:13" x14ac:dyDescent="0.35">
      <c r="A490" t="s">
        <v>630</v>
      </c>
      <c r="B490">
        <v>7053474079</v>
      </c>
      <c r="C490">
        <v>4086686788</v>
      </c>
      <c r="D490" t="s">
        <v>19</v>
      </c>
      <c r="E490" s="7">
        <v>260</v>
      </c>
      <c r="F490" s="7">
        <v>260</v>
      </c>
      <c r="G490" s="7">
        <v>0</v>
      </c>
      <c r="H490" t="s">
        <v>99</v>
      </c>
      <c r="I490" t="s">
        <v>177</v>
      </c>
      <c r="J490" t="s">
        <v>26</v>
      </c>
      <c r="K490" t="s">
        <v>16</v>
      </c>
      <c r="L490" t="s">
        <v>16</v>
      </c>
      <c r="M490" t="s">
        <v>17</v>
      </c>
    </row>
    <row r="491" spans="1:13" x14ac:dyDescent="0.35">
      <c r="A491" t="s">
        <v>631</v>
      </c>
      <c r="B491">
        <v>4487981315</v>
      </c>
      <c r="C491">
        <v>8259362877</v>
      </c>
      <c r="D491" t="s">
        <v>13</v>
      </c>
      <c r="E491" s="7">
        <v>354</v>
      </c>
      <c r="F491" s="7">
        <v>0</v>
      </c>
      <c r="G491" s="7">
        <v>354</v>
      </c>
      <c r="H491" t="s">
        <v>99</v>
      </c>
      <c r="I491" t="s">
        <v>231</v>
      </c>
      <c r="J491" t="s">
        <v>26</v>
      </c>
      <c r="K491" t="s">
        <v>0</v>
      </c>
      <c r="L491" t="s">
        <v>0</v>
      </c>
      <c r="M491" t="s">
        <v>40</v>
      </c>
    </row>
    <row r="492" spans="1:13" x14ac:dyDescent="0.35">
      <c r="A492" t="s">
        <v>632</v>
      </c>
      <c r="B492">
        <v>4935186078</v>
      </c>
      <c r="C492">
        <v>6428719917</v>
      </c>
      <c r="D492" t="s">
        <v>30</v>
      </c>
      <c r="E492" s="7">
        <v>132</v>
      </c>
      <c r="F492" s="7">
        <v>78</v>
      </c>
      <c r="G492" s="7">
        <v>54</v>
      </c>
      <c r="H492" t="s">
        <v>38</v>
      </c>
      <c r="I492" t="s">
        <v>142</v>
      </c>
      <c r="J492" t="s">
        <v>43</v>
      </c>
      <c r="K492" t="s">
        <v>27</v>
      </c>
      <c r="L492" t="s">
        <v>894</v>
      </c>
      <c r="M492" t="s">
        <v>126</v>
      </c>
    </row>
    <row r="493" spans="1:13" x14ac:dyDescent="0.35">
      <c r="A493" t="s">
        <v>633</v>
      </c>
      <c r="B493">
        <v>9204268623</v>
      </c>
      <c r="C493">
        <v>4982600288</v>
      </c>
      <c r="D493" t="s">
        <v>30</v>
      </c>
      <c r="E493" s="7">
        <v>438</v>
      </c>
      <c r="F493" s="7">
        <v>0</v>
      </c>
      <c r="G493" s="7">
        <v>438</v>
      </c>
      <c r="H493" t="s">
        <v>31</v>
      </c>
      <c r="I493" t="s">
        <v>237</v>
      </c>
      <c r="J493" t="s">
        <v>26</v>
      </c>
      <c r="K493" t="s">
        <v>0</v>
      </c>
      <c r="L493" t="s">
        <v>0</v>
      </c>
      <c r="M493" t="s">
        <v>40</v>
      </c>
    </row>
    <row r="494" spans="1:13" x14ac:dyDescent="0.35">
      <c r="A494" t="s">
        <v>634</v>
      </c>
      <c r="B494">
        <v>8829357430</v>
      </c>
      <c r="C494">
        <v>8621007016</v>
      </c>
      <c r="D494" t="s">
        <v>13</v>
      </c>
      <c r="E494" s="7">
        <v>432</v>
      </c>
      <c r="F494" s="7">
        <v>318</v>
      </c>
      <c r="G494" s="7">
        <v>114</v>
      </c>
      <c r="H494" t="s">
        <v>99</v>
      </c>
      <c r="I494" t="s">
        <v>419</v>
      </c>
      <c r="J494" t="s">
        <v>43</v>
      </c>
      <c r="K494" t="s">
        <v>0</v>
      </c>
      <c r="L494" t="s">
        <v>894</v>
      </c>
      <c r="M494" t="s">
        <v>28</v>
      </c>
    </row>
    <row r="495" spans="1:13" x14ac:dyDescent="0.35">
      <c r="A495" t="s">
        <v>635</v>
      </c>
      <c r="B495">
        <v>5306316104</v>
      </c>
      <c r="C495">
        <v>1495568771</v>
      </c>
      <c r="D495" t="s">
        <v>19</v>
      </c>
      <c r="E495" s="7">
        <v>344</v>
      </c>
      <c r="F495" s="7">
        <v>0</v>
      </c>
      <c r="G495" s="7">
        <v>344</v>
      </c>
      <c r="H495" t="s">
        <v>31</v>
      </c>
      <c r="I495" t="s">
        <v>42</v>
      </c>
      <c r="J495" t="s">
        <v>43</v>
      </c>
      <c r="K495" t="s">
        <v>0</v>
      </c>
      <c r="L495" t="s">
        <v>0</v>
      </c>
      <c r="M495" t="s">
        <v>126</v>
      </c>
    </row>
    <row r="496" spans="1:13" x14ac:dyDescent="0.35">
      <c r="A496" t="s">
        <v>636</v>
      </c>
      <c r="B496">
        <v>2990425033</v>
      </c>
      <c r="C496">
        <v>8413480749</v>
      </c>
      <c r="D496" t="s">
        <v>19</v>
      </c>
      <c r="E496" s="7">
        <v>206</v>
      </c>
      <c r="F496" s="7">
        <v>0</v>
      </c>
      <c r="G496" s="7">
        <v>206</v>
      </c>
      <c r="H496" t="s">
        <v>38</v>
      </c>
      <c r="I496" t="s">
        <v>239</v>
      </c>
      <c r="J496" t="s">
        <v>43</v>
      </c>
      <c r="K496" t="s">
        <v>27</v>
      </c>
      <c r="L496" t="s">
        <v>0</v>
      </c>
      <c r="M496" t="s">
        <v>55</v>
      </c>
    </row>
    <row r="497" spans="1:13" x14ac:dyDescent="0.35">
      <c r="A497" t="s">
        <v>637</v>
      </c>
      <c r="B497">
        <v>691789899</v>
      </c>
      <c r="C497">
        <v>2508422282</v>
      </c>
      <c r="D497" t="s">
        <v>13</v>
      </c>
      <c r="E497" s="7">
        <v>216</v>
      </c>
      <c r="F497" s="7">
        <v>216</v>
      </c>
      <c r="G497" s="7">
        <v>0</v>
      </c>
      <c r="H497" t="s">
        <v>20</v>
      </c>
      <c r="I497" t="s">
        <v>110</v>
      </c>
      <c r="J497" t="s">
        <v>22</v>
      </c>
      <c r="K497" t="s">
        <v>16</v>
      </c>
      <c r="L497" t="s">
        <v>16</v>
      </c>
      <c r="M497" t="s">
        <v>17</v>
      </c>
    </row>
    <row r="498" spans="1:13" x14ac:dyDescent="0.35">
      <c r="A498" t="s">
        <v>638</v>
      </c>
      <c r="B498">
        <v>4359470938</v>
      </c>
      <c r="C498">
        <v>1045974580</v>
      </c>
      <c r="D498" t="s">
        <v>30</v>
      </c>
      <c r="E498" s="7">
        <v>377</v>
      </c>
      <c r="F498" s="7">
        <v>377</v>
      </c>
      <c r="G498" s="7">
        <v>0</v>
      </c>
      <c r="H498" t="s">
        <v>80</v>
      </c>
      <c r="I498" t="s">
        <v>48</v>
      </c>
      <c r="J498" t="s">
        <v>43</v>
      </c>
      <c r="K498" t="s">
        <v>16</v>
      </c>
      <c r="L498" t="s">
        <v>16</v>
      </c>
      <c r="M498" t="s">
        <v>17</v>
      </c>
    </row>
    <row r="499" spans="1:13" x14ac:dyDescent="0.35">
      <c r="A499" t="s">
        <v>639</v>
      </c>
      <c r="B499">
        <v>8969596515</v>
      </c>
      <c r="C499">
        <v>7877349395</v>
      </c>
      <c r="D499" t="s">
        <v>24</v>
      </c>
      <c r="E499" s="7">
        <v>441</v>
      </c>
      <c r="F499" s="7">
        <v>441</v>
      </c>
      <c r="G499" s="7">
        <v>0</v>
      </c>
      <c r="H499" t="s">
        <v>80</v>
      </c>
      <c r="I499" t="s">
        <v>187</v>
      </c>
      <c r="J499" t="s">
        <v>22</v>
      </c>
      <c r="K499" t="s">
        <v>16</v>
      </c>
      <c r="L499" t="s">
        <v>16</v>
      </c>
      <c r="M499" t="s">
        <v>17</v>
      </c>
    </row>
    <row r="500" spans="1:13" x14ac:dyDescent="0.35">
      <c r="A500" t="s">
        <v>640</v>
      </c>
      <c r="B500">
        <v>2292006926</v>
      </c>
      <c r="C500">
        <v>6533883551</v>
      </c>
      <c r="D500" t="s">
        <v>30</v>
      </c>
      <c r="E500" s="7">
        <v>212</v>
      </c>
      <c r="F500" s="7">
        <v>212</v>
      </c>
      <c r="G500" s="7">
        <v>0</v>
      </c>
      <c r="H500" t="s">
        <v>80</v>
      </c>
      <c r="I500" t="s">
        <v>252</v>
      </c>
      <c r="J500" t="s">
        <v>26</v>
      </c>
      <c r="K500" t="s">
        <v>16</v>
      </c>
      <c r="L500" t="s">
        <v>16</v>
      </c>
      <c r="M500" t="s">
        <v>17</v>
      </c>
    </row>
    <row r="501" spans="1:13" x14ac:dyDescent="0.35">
      <c r="A501" t="s">
        <v>641</v>
      </c>
      <c r="B501">
        <v>2245195950</v>
      </c>
      <c r="C501">
        <v>6683667937</v>
      </c>
      <c r="D501" t="s">
        <v>30</v>
      </c>
      <c r="E501" s="7">
        <v>309</v>
      </c>
      <c r="F501" s="7">
        <v>309</v>
      </c>
      <c r="G501" s="7">
        <v>0</v>
      </c>
      <c r="H501" t="s">
        <v>35</v>
      </c>
      <c r="I501" t="s">
        <v>65</v>
      </c>
      <c r="J501" t="s">
        <v>26</v>
      </c>
      <c r="K501" t="s">
        <v>16</v>
      </c>
      <c r="L501" t="s">
        <v>16</v>
      </c>
      <c r="M501" t="s">
        <v>17</v>
      </c>
    </row>
    <row r="502" spans="1:13" x14ac:dyDescent="0.35">
      <c r="A502" t="s">
        <v>642</v>
      </c>
      <c r="B502">
        <v>6684688437</v>
      </c>
      <c r="C502">
        <v>106059983</v>
      </c>
      <c r="D502" t="s">
        <v>19</v>
      </c>
      <c r="E502" s="7">
        <v>250</v>
      </c>
      <c r="F502" s="7">
        <v>176</v>
      </c>
      <c r="G502" s="7">
        <v>74</v>
      </c>
      <c r="H502" t="s">
        <v>70</v>
      </c>
      <c r="I502" t="s">
        <v>109</v>
      </c>
      <c r="J502" t="s">
        <v>43</v>
      </c>
      <c r="K502" t="s">
        <v>0</v>
      </c>
      <c r="L502" t="s">
        <v>894</v>
      </c>
      <c r="M502" t="s">
        <v>44</v>
      </c>
    </row>
    <row r="503" spans="1:13" x14ac:dyDescent="0.35">
      <c r="A503" t="s">
        <v>643</v>
      </c>
      <c r="B503">
        <v>3213127164</v>
      </c>
      <c r="C503">
        <v>2413406518</v>
      </c>
      <c r="D503" t="s">
        <v>19</v>
      </c>
      <c r="E503" s="7">
        <v>223</v>
      </c>
      <c r="F503" s="7">
        <v>223</v>
      </c>
      <c r="G503" s="7">
        <v>0</v>
      </c>
      <c r="H503" t="s">
        <v>99</v>
      </c>
      <c r="I503" t="s">
        <v>100</v>
      </c>
      <c r="J503" t="s">
        <v>43</v>
      </c>
      <c r="K503" t="s">
        <v>16</v>
      </c>
      <c r="L503" t="s">
        <v>16</v>
      </c>
      <c r="M503" t="s">
        <v>17</v>
      </c>
    </row>
    <row r="504" spans="1:13" x14ac:dyDescent="0.35">
      <c r="A504" t="s">
        <v>644</v>
      </c>
      <c r="B504">
        <v>5450025497</v>
      </c>
      <c r="C504">
        <v>3657082681</v>
      </c>
      <c r="D504" t="s">
        <v>13</v>
      </c>
      <c r="E504" s="7">
        <v>127</v>
      </c>
      <c r="F504" s="7">
        <v>127</v>
      </c>
      <c r="G504" s="7">
        <v>0</v>
      </c>
      <c r="H504" t="s">
        <v>80</v>
      </c>
      <c r="I504" t="s">
        <v>74</v>
      </c>
      <c r="J504" t="s">
        <v>26</v>
      </c>
      <c r="K504" t="s">
        <v>0</v>
      </c>
      <c r="L504" t="s">
        <v>16</v>
      </c>
      <c r="M504" t="s">
        <v>28</v>
      </c>
    </row>
    <row r="505" spans="1:13" x14ac:dyDescent="0.35">
      <c r="A505" t="s">
        <v>645</v>
      </c>
      <c r="B505">
        <v>5925850831</v>
      </c>
      <c r="C505">
        <v>7431704254</v>
      </c>
      <c r="D505" t="s">
        <v>19</v>
      </c>
      <c r="E505" s="7">
        <v>273</v>
      </c>
      <c r="F505" s="7">
        <v>273</v>
      </c>
      <c r="G505" s="7">
        <v>0</v>
      </c>
      <c r="H505" t="s">
        <v>31</v>
      </c>
      <c r="I505" t="s">
        <v>105</v>
      </c>
      <c r="J505" t="s">
        <v>43</v>
      </c>
      <c r="K505" t="s">
        <v>16</v>
      </c>
      <c r="L505" t="s">
        <v>16</v>
      </c>
      <c r="M505" t="s">
        <v>17</v>
      </c>
    </row>
    <row r="506" spans="1:13" x14ac:dyDescent="0.35">
      <c r="A506" t="s">
        <v>646</v>
      </c>
      <c r="B506">
        <v>5030266871</v>
      </c>
      <c r="C506">
        <v>7984072910</v>
      </c>
      <c r="D506" t="s">
        <v>13</v>
      </c>
      <c r="E506" s="7">
        <v>274</v>
      </c>
      <c r="F506" s="7">
        <v>274</v>
      </c>
      <c r="G506" s="7">
        <v>0</v>
      </c>
      <c r="H506" t="s">
        <v>20</v>
      </c>
      <c r="I506" t="s">
        <v>125</v>
      </c>
      <c r="J506" t="s">
        <v>43</v>
      </c>
      <c r="K506" t="s">
        <v>0</v>
      </c>
      <c r="L506" t="s">
        <v>16</v>
      </c>
      <c r="M506" t="s">
        <v>51</v>
      </c>
    </row>
    <row r="507" spans="1:13" x14ac:dyDescent="0.35">
      <c r="A507" t="s">
        <v>647</v>
      </c>
      <c r="B507">
        <v>478940437</v>
      </c>
      <c r="C507">
        <v>3787433604</v>
      </c>
      <c r="D507" t="s">
        <v>19</v>
      </c>
      <c r="E507" s="7">
        <v>177</v>
      </c>
      <c r="F507" s="7">
        <v>177</v>
      </c>
      <c r="G507" s="7">
        <v>0</v>
      </c>
      <c r="H507" t="s">
        <v>80</v>
      </c>
      <c r="I507" t="s">
        <v>317</v>
      </c>
      <c r="J507" t="s">
        <v>43</v>
      </c>
      <c r="K507" t="s">
        <v>27</v>
      </c>
      <c r="L507" t="s">
        <v>16</v>
      </c>
      <c r="M507" t="s">
        <v>51</v>
      </c>
    </row>
    <row r="508" spans="1:13" x14ac:dyDescent="0.35">
      <c r="A508" t="s">
        <v>648</v>
      </c>
      <c r="B508">
        <v>7613874585</v>
      </c>
      <c r="C508">
        <v>3007193490</v>
      </c>
      <c r="D508" t="s">
        <v>19</v>
      </c>
      <c r="E508" s="7">
        <v>140</v>
      </c>
      <c r="F508" s="7">
        <v>0</v>
      </c>
      <c r="G508" s="7">
        <v>140</v>
      </c>
      <c r="H508" t="s">
        <v>56</v>
      </c>
      <c r="I508" t="s">
        <v>180</v>
      </c>
      <c r="J508" t="s">
        <v>22</v>
      </c>
      <c r="K508" t="s">
        <v>27</v>
      </c>
      <c r="L508" t="s">
        <v>0</v>
      </c>
      <c r="M508" t="s">
        <v>51</v>
      </c>
    </row>
    <row r="509" spans="1:13" x14ac:dyDescent="0.35">
      <c r="A509" t="s">
        <v>649</v>
      </c>
      <c r="B509">
        <v>3643791156</v>
      </c>
      <c r="C509">
        <v>8483405125</v>
      </c>
      <c r="D509" t="s">
        <v>30</v>
      </c>
      <c r="E509" s="7">
        <v>116</v>
      </c>
      <c r="F509" s="7">
        <v>0</v>
      </c>
      <c r="G509" s="7">
        <v>116</v>
      </c>
      <c r="H509" t="s">
        <v>35</v>
      </c>
      <c r="I509" t="s">
        <v>106</v>
      </c>
      <c r="J509" t="s">
        <v>26</v>
      </c>
      <c r="K509" t="s">
        <v>0</v>
      </c>
      <c r="L509" t="s">
        <v>0</v>
      </c>
      <c r="M509" t="s">
        <v>33</v>
      </c>
    </row>
    <row r="510" spans="1:13" x14ac:dyDescent="0.35">
      <c r="A510" t="s">
        <v>650</v>
      </c>
      <c r="B510">
        <v>4283311220</v>
      </c>
      <c r="C510">
        <v>4681094459</v>
      </c>
      <c r="D510" t="s">
        <v>30</v>
      </c>
      <c r="E510" s="7">
        <v>202</v>
      </c>
      <c r="F510" s="7">
        <v>202</v>
      </c>
      <c r="G510" s="7">
        <v>0</v>
      </c>
      <c r="H510" t="s">
        <v>56</v>
      </c>
      <c r="I510" t="s">
        <v>173</v>
      </c>
      <c r="J510" t="s">
        <v>43</v>
      </c>
      <c r="K510" t="s">
        <v>16</v>
      </c>
      <c r="L510" t="s">
        <v>16</v>
      </c>
      <c r="M510" t="s">
        <v>17</v>
      </c>
    </row>
    <row r="511" spans="1:13" x14ac:dyDescent="0.35">
      <c r="A511" t="s">
        <v>651</v>
      </c>
      <c r="B511">
        <v>7957814893</v>
      </c>
      <c r="C511">
        <v>7088756199</v>
      </c>
      <c r="D511" t="s">
        <v>30</v>
      </c>
      <c r="E511" s="7">
        <v>480</v>
      </c>
      <c r="F511" s="7">
        <v>480</v>
      </c>
      <c r="G511" s="7">
        <v>0</v>
      </c>
      <c r="H511" t="s">
        <v>70</v>
      </c>
      <c r="I511" t="s">
        <v>32</v>
      </c>
      <c r="J511" t="s">
        <v>43</v>
      </c>
      <c r="K511" t="s">
        <v>16</v>
      </c>
      <c r="L511" t="s">
        <v>16</v>
      </c>
      <c r="M511" t="s">
        <v>17</v>
      </c>
    </row>
    <row r="512" spans="1:13" x14ac:dyDescent="0.35">
      <c r="A512" t="s">
        <v>652</v>
      </c>
      <c r="B512">
        <v>2305918821</v>
      </c>
      <c r="C512">
        <v>4567672343</v>
      </c>
      <c r="D512" t="s">
        <v>30</v>
      </c>
      <c r="E512" s="7">
        <v>377</v>
      </c>
      <c r="F512" s="7">
        <v>0</v>
      </c>
      <c r="G512" s="7">
        <v>377</v>
      </c>
      <c r="H512" t="s">
        <v>14</v>
      </c>
      <c r="I512" t="s">
        <v>137</v>
      </c>
      <c r="J512" t="s">
        <v>43</v>
      </c>
      <c r="K512" t="s">
        <v>27</v>
      </c>
      <c r="L512" t="s">
        <v>0</v>
      </c>
      <c r="M512" t="s">
        <v>51</v>
      </c>
    </row>
    <row r="513" spans="1:13" x14ac:dyDescent="0.35">
      <c r="A513" t="s">
        <v>653</v>
      </c>
      <c r="B513">
        <v>5402310737</v>
      </c>
      <c r="C513">
        <v>4625423766</v>
      </c>
      <c r="D513" t="s">
        <v>19</v>
      </c>
      <c r="E513" s="7">
        <v>373</v>
      </c>
      <c r="F513" s="7">
        <v>373</v>
      </c>
      <c r="G513" s="7">
        <v>0</v>
      </c>
      <c r="H513" t="s">
        <v>53</v>
      </c>
      <c r="I513" t="s">
        <v>57</v>
      </c>
      <c r="J513" t="s">
        <v>43</v>
      </c>
      <c r="K513" t="s">
        <v>27</v>
      </c>
      <c r="L513" t="s">
        <v>16</v>
      </c>
      <c r="M513" t="s">
        <v>33</v>
      </c>
    </row>
    <row r="514" spans="1:13" x14ac:dyDescent="0.35">
      <c r="A514" t="s">
        <v>654</v>
      </c>
      <c r="B514">
        <v>5870473510</v>
      </c>
      <c r="C514">
        <v>2893564587</v>
      </c>
      <c r="D514" t="s">
        <v>30</v>
      </c>
      <c r="E514" s="7">
        <v>238</v>
      </c>
      <c r="F514" s="7">
        <v>238</v>
      </c>
      <c r="G514" s="7">
        <v>0</v>
      </c>
      <c r="H514" t="s">
        <v>56</v>
      </c>
      <c r="I514" t="s">
        <v>256</v>
      </c>
      <c r="J514" t="s">
        <v>26</v>
      </c>
      <c r="K514" t="s">
        <v>0</v>
      </c>
      <c r="L514" t="s">
        <v>16</v>
      </c>
      <c r="M514" t="s">
        <v>40</v>
      </c>
    </row>
    <row r="515" spans="1:13" x14ac:dyDescent="0.35">
      <c r="A515" t="s">
        <v>655</v>
      </c>
      <c r="B515">
        <v>8241932044</v>
      </c>
      <c r="C515">
        <v>7427408093</v>
      </c>
      <c r="D515" t="s">
        <v>24</v>
      </c>
      <c r="E515" s="7">
        <v>249</v>
      </c>
      <c r="F515" s="7">
        <v>139</v>
      </c>
      <c r="G515" s="7">
        <v>110</v>
      </c>
      <c r="H515" t="s">
        <v>20</v>
      </c>
      <c r="I515" t="s">
        <v>32</v>
      </c>
      <c r="J515" t="s">
        <v>43</v>
      </c>
      <c r="K515" t="s">
        <v>0</v>
      </c>
      <c r="L515" t="s">
        <v>894</v>
      </c>
      <c r="M515" t="s">
        <v>51</v>
      </c>
    </row>
    <row r="516" spans="1:13" x14ac:dyDescent="0.35">
      <c r="A516" t="s">
        <v>656</v>
      </c>
      <c r="B516">
        <v>2253125702</v>
      </c>
      <c r="C516">
        <v>2593301482</v>
      </c>
      <c r="D516" t="s">
        <v>30</v>
      </c>
      <c r="E516" s="7">
        <v>105</v>
      </c>
      <c r="F516" s="7">
        <v>0</v>
      </c>
      <c r="G516" s="7">
        <v>105</v>
      </c>
      <c r="H516" t="s">
        <v>53</v>
      </c>
      <c r="I516" t="s">
        <v>54</v>
      </c>
      <c r="J516" t="s">
        <v>22</v>
      </c>
      <c r="K516" t="s">
        <v>27</v>
      </c>
      <c r="L516" t="s">
        <v>0</v>
      </c>
      <c r="M516" t="s">
        <v>126</v>
      </c>
    </row>
    <row r="517" spans="1:13" x14ac:dyDescent="0.35">
      <c r="A517" t="s">
        <v>657</v>
      </c>
      <c r="B517">
        <v>3215989543</v>
      </c>
      <c r="C517">
        <v>7894751309</v>
      </c>
      <c r="D517" t="s">
        <v>24</v>
      </c>
      <c r="E517" s="7">
        <v>297</v>
      </c>
      <c r="F517" s="7">
        <v>0</v>
      </c>
      <c r="G517" s="7">
        <v>297</v>
      </c>
      <c r="H517" t="s">
        <v>20</v>
      </c>
      <c r="I517" t="s">
        <v>189</v>
      </c>
      <c r="J517" t="s">
        <v>43</v>
      </c>
      <c r="K517" t="s">
        <v>0</v>
      </c>
      <c r="L517" t="s">
        <v>0</v>
      </c>
      <c r="M517" t="s">
        <v>58</v>
      </c>
    </row>
    <row r="518" spans="1:13" x14ac:dyDescent="0.35">
      <c r="A518" t="s">
        <v>658</v>
      </c>
      <c r="B518">
        <v>3385089876</v>
      </c>
      <c r="C518">
        <v>6074309610</v>
      </c>
      <c r="D518" t="s">
        <v>19</v>
      </c>
      <c r="E518" s="7">
        <v>146</v>
      </c>
      <c r="F518" s="7">
        <v>146</v>
      </c>
      <c r="G518" s="7">
        <v>0</v>
      </c>
      <c r="H518" t="s">
        <v>38</v>
      </c>
      <c r="I518" t="s">
        <v>201</v>
      </c>
      <c r="J518" t="s">
        <v>43</v>
      </c>
      <c r="K518" t="s">
        <v>16</v>
      </c>
      <c r="L518" t="s">
        <v>16</v>
      </c>
      <c r="M518" t="s">
        <v>17</v>
      </c>
    </row>
    <row r="519" spans="1:13" x14ac:dyDescent="0.35">
      <c r="A519" t="s">
        <v>659</v>
      </c>
      <c r="B519">
        <v>6471383404</v>
      </c>
      <c r="C519">
        <v>898907530</v>
      </c>
      <c r="D519" t="s">
        <v>19</v>
      </c>
      <c r="E519" s="7">
        <v>357</v>
      </c>
      <c r="F519" s="7">
        <v>0</v>
      </c>
      <c r="G519" s="7">
        <v>357</v>
      </c>
      <c r="H519" t="s">
        <v>70</v>
      </c>
      <c r="I519" t="s">
        <v>378</v>
      </c>
      <c r="J519" t="s">
        <v>26</v>
      </c>
      <c r="K519" t="s">
        <v>27</v>
      </c>
      <c r="L519" t="s">
        <v>0</v>
      </c>
      <c r="M519" t="s">
        <v>40</v>
      </c>
    </row>
    <row r="520" spans="1:13" x14ac:dyDescent="0.35">
      <c r="A520" t="s">
        <v>660</v>
      </c>
      <c r="B520">
        <v>232504831</v>
      </c>
      <c r="C520">
        <v>2598662218</v>
      </c>
      <c r="D520" t="s">
        <v>67</v>
      </c>
      <c r="E520" s="7">
        <v>388</v>
      </c>
      <c r="F520" s="7">
        <v>388</v>
      </c>
      <c r="G520" s="7">
        <v>0</v>
      </c>
      <c r="H520" t="s">
        <v>70</v>
      </c>
      <c r="I520" t="s">
        <v>128</v>
      </c>
      <c r="J520" t="s">
        <v>43</v>
      </c>
      <c r="K520" t="s">
        <v>16</v>
      </c>
      <c r="L520" t="s">
        <v>16</v>
      </c>
      <c r="M520" t="s">
        <v>17</v>
      </c>
    </row>
    <row r="521" spans="1:13" x14ac:dyDescent="0.35">
      <c r="A521" t="s">
        <v>661</v>
      </c>
      <c r="B521">
        <v>4875662779</v>
      </c>
      <c r="C521">
        <v>7948642963</v>
      </c>
      <c r="D521" t="s">
        <v>67</v>
      </c>
      <c r="E521" s="7">
        <v>387</v>
      </c>
      <c r="F521" s="7">
        <v>0</v>
      </c>
      <c r="G521" s="7">
        <v>387</v>
      </c>
      <c r="H521" t="s">
        <v>38</v>
      </c>
      <c r="I521" t="s">
        <v>103</v>
      </c>
      <c r="J521" t="s">
        <v>26</v>
      </c>
      <c r="K521" t="s">
        <v>0</v>
      </c>
      <c r="L521" t="s">
        <v>0</v>
      </c>
      <c r="M521" t="s">
        <v>44</v>
      </c>
    </row>
    <row r="522" spans="1:13" x14ac:dyDescent="0.35">
      <c r="A522" t="s">
        <v>662</v>
      </c>
      <c r="B522">
        <v>4868390641</v>
      </c>
      <c r="C522">
        <v>9225325443</v>
      </c>
      <c r="D522" t="s">
        <v>19</v>
      </c>
      <c r="E522" s="7">
        <v>363</v>
      </c>
      <c r="F522" s="7">
        <v>363</v>
      </c>
      <c r="G522" s="7">
        <v>0</v>
      </c>
      <c r="H522" t="s">
        <v>56</v>
      </c>
      <c r="I522" t="s">
        <v>256</v>
      </c>
      <c r="J522" t="s">
        <v>26</v>
      </c>
      <c r="K522" t="s">
        <v>16</v>
      </c>
      <c r="L522" t="s">
        <v>16</v>
      </c>
      <c r="M522" t="s">
        <v>17</v>
      </c>
    </row>
    <row r="523" spans="1:13" x14ac:dyDescent="0.35">
      <c r="A523" t="s">
        <v>663</v>
      </c>
      <c r="B523">
        <v>32906689</v>
      </c>
      <c r="C523">
        <v>4185835837</v>
      </c>
      <c r="D523" t="s">
        <v>24</v>
      </c>
      <c r="E523" s="7">
        <v>112</v>
      </c>
      <c r="F523" s="7">
        <v>0</v>
      </c>
      <c r="G523" s="7">
        <v>112</v>
      </c>
      <c r="H523" t="s">
        <v>70</v>
      </c>
      <c r="I523" t="s">
        <v>157</v>
      </c>
      <c r="J523" t="s">
        <v>22</v>
      </c>
      <c r="K523" t="s">
        <v>27</v>
      </c>
      <c r="L523" t="s">
        <v>0</v>
      </c>
      <c r="M523" t="s">
        <v>55</v>
      </c>
    </row>
    <row r="524" spans="1:13" x14ac:dyDescent="0.35">
      <c r="A524" t="s">
        <v>664</v>
      </c>
      <c r="B524">
        <v>3010371789</v>
      </c>
      <c r="C524">
        <v>80661965</v>
      </c>
      <c r="D524" t="s">
        <v>30</v>
      </c>
      <c r="E524" s="7">
        <v>337</v>
      </c>
      <c r="F524" s="7">
        <v>223</v>
      </c>
      <c r="G524" s="7">
        <v>114</v>
      </c>
      <c r="H524" t="s">
        <v>35</v>
      </c>
      <c r="I524" t="s">
        <v>122</v>
      </c>
      <c r="J524" t="s">
        <v>26</v>
      </c>
      <c r="K524" t="s">
        <v>27</v>
      </c>
      <c r="L524" t="s">
        <v>894</v>
      </c>
      <c r="M524" t="s">
        <v>40</v>
      </c>
    </row>
    <row r="525" spans="1:13" x14ac:dyDescent="0.35">
      <c r="A525" t="s">
        <v>665</v>
      </c>
      <c r="B525">
        <v>9785108338</v>
      </c>
      <c r="C525">
        <v>8787081290</v>
      </c>
      <c r="D525" t="s">
        <v>67</v>
      </c>
      <c r="E525" s="7">
        <v>303</v>
      </c>
      <c r="F525" s="7">
        <v>0</v>
      </c>
      <c r="G525" s="7">
        <v>303</v>
      </c>
      <c r="H525" t="s">
        <v>14</v>
      </c>
      <c r="I525" t="s">
        <v>76</v>
      </c>
      <c r="J525" t="s">
        <v>22</v>
      </c>
      <c r="K525" t="s">
        <v>27</v>
      </c>
      <c r="L525" t="s">
        <v>0</v>
      </c>
      <c r="M525" t="s">
        <v>58</v>
      </c>
    </row>
    <row r="526" spans="1:13" x14ac:dyDescent="0.35">
      <c r="A526" t="s">
        <v>666</v>
      </c>
      <c r="B526">
        <v>4271969639</v>
      </c>
      <c r="C526">
        <v>1278823277</v>
      </c>
      <c r="D526" t="s">
        <v>24</v>
      </c>
      <c r="E526" s="7">
        <v>351</v>
      </c>
      <c r="F526" s="7">
        <v>351</v>
      </c>
      <c r="G526" s="7">
        <v>0</v>
      </c>
      <c r="H526" t="s">
        <v>70</v>
      </c>
      <c r="I526" t="s">
        <v>78</v>
      </c>
      <c r="J526" t="s">
        <v>22</v>
      </c>
      <c r="K526" t="s">
        <v>0</v>
      </c>
      <c r="L526" t="s">
        <v>16</v>
      </c>
      <c r="M526" t="s">
        <v>33</v>
      </c>
    </row>
    <row r="527" spans="1:13" x14ac:dyDescent="0.35">
      <c r="A527" t="s">
        <v>667</v>
      </c>
      <c r="B527">
        <v>1648924613</v>
      </c>
      <c r="C527">
        <v>5182010994</v>
      </c>
      <c r="D527" t="s">
        <v>24</v>
      </c>
      <c r="E527" s="7">
        <v>378</v>
      </c>
      <c r="F527" s="7">
        <v>0</v>
      </c>
      <c r="G527" s="7">
        <v>378</v>
      </c>
      <c r="H527" t="s">
        <v>99</v>
      </c>
      <c r="I527" t="s">
        <v>203</v>
      </c>
      <c r="J527" t="s">
        <v>26</v>
      </c>
      <c r="K527" t="s">
        <v>0</v>
      </c>
      <c r="L527" t="s">
        <v>0</v>
      </c>
      <c r="M527" t="s">
        <v>33</v>
      </c>
    </row>
    <row r="528" spans="1:13" x14ac:dyDescent="0.35">
      <c r="A528" t="s">
        <v>668</v>
      </c>
      <c r="B528">
        <v>9526664193</v>
      </c>
      <c r="C528">
        <v>9060303986</v>
      </c>
      <c r="D528" t="s">
        <v>19</v>
      </c>
      <c r="E528" s="7">
        <v>459</v>
      </c>
      <c r="F528" s="7">
        <v>459</v>
      </c>
      <c r="G528" s="7">
        <v>0</v>
      </c>
      <c r="H528" t="s">
        <v>35</v>
      </c>
      <c r="I528" t="s">
        <v>239</v>
      </c>
      <c r="J528" t="s">
        <v>22</v>
      </c>
      <c r="K528" t="s">
        <v>0</v>
      </c>
      <c r="L528" t="s">
        <v>16</v>
      </c>
      <c r="M528" t="s">
        <v>51</v>
      </c>
    </row>
    <row r="529" spans="1:13" x14ac:dyDescent="0.35">
      <c r="A529" t="s">
        <v>669</v>
      </c>
      <c r="B529">
        <v>4489563342</v>
      </c>
      <c r="C529">
        <v>8452700426</v>
      </c>
      <c r="D529" t="s">
        <v>13</v>
      </c>
      <c r="E529" s="7">
        <v>245</v>
      </c>
      <c r="F529" s="7">
        <v>0</v>
      </c>
      <c r="G529" s="7">
        <v>245</v>
      </c>
      <c r="H529" t="s">
        <v>56</v>
      </c>
      <c r="I529" t="s">
        <v>144</v>
      </c>
      <c r="J529" t="s">
        <v>26</v>
      </c>
      <c r="K529" t="s">
        <v>0</v>
      </c>
      <c r="L529" t="s">
        <v>0</v>
      </c>
      <c r="M529" t="s">
        <v>51</v>
      </c>
    </row>
    <row r="530" spans="1:13" x14ac:dyDescent="0.35">
      <c r="A530" t="s">
        <v>670</v>
      </c>
      <c r="B530">
        <v>6189693117</v>
      </c>
      <c r="C530">
        <v>9753933193</v>
      </c>
      <c r="D530" t="s">
        <v>19</v>
      </c>
      <c r="E530" s="7">
        <v>211</v>
      </c>
      <c r="F530" s="7">
        <v>147</v>
      </c>
      <c r="G530" s="7">
        <v>64</v>
      </c>
      <c r="H530" t="s">
        <v>35</v>
      </c>
      <c r="I530" t="s">
        <v>109</v>
      </c>
      <c r="J530" t="s">
        <v>22</v>
      </c>
      <c r="K530" t="s">
        <v>27</v>
      </c>
      <c r="L530" t="s">
        <v>894</v>
      </c>
      <c r="M530" t="s">
        <v>126</v>
      </c>
    </row>
    <row r="531" spans="1:13" x14ac:dyDescent="0.35">
      <c r="A531" t="s">
        <v>671</v>
      </c>
      <c r="B531">
        <v>1056041760</v>
      </c>
      <c r="C531">
        <v>7104786005</v>
      </c>
      <c r="D531" t="s">
        <v>67</v>
      </c>
      <c r="E531" s="7">
        <v>212</v>
      </c>
      <c r="F531" s="7">
        <v>212</v>
      </c>
      <c r="G531" s="7">
        <v>0</v>
      </c>
      <c r="H531" t="s">
        <v>80</v>
      </c>
      <c r="I531" t="s">
        <v>76</v>
      </c>
      <c r="J531" t="s">
        <v>22</v>
      </c>
      <c r="K531" t="s">
        <v>16</v>
      </c>
      <c r="L531" t="s">
        <v>16</v>
      </c>
      <c r="M531" t="s">
        <v>17</v>
      </c>
    </row>
    <row r="532" spans="1:13" x14ac:dyDescent="0.35">
      <c r="A532" t="s">
        <v>672</v>
      </c>
      <c r="B532">
        <v>7280392961</v>
      </c>
      <c r="C532">
        <v>6640465517</v>
      </c>
      <c r="D532" t="s">
        <v>19</v>
      </c>
      <c r="E532" s="7">
        <v>361</v>
      </c>
      <c r="F532" s="7">
        <v>235</v>
      </c>
      <c r="G532" s="7">
        <v>126</v>
      </c>
      <c r="H532" t="s">
        <v>38</v>
      </c>
      <c r="I532" t="s">
        <v>76</v>
      </c>
      <c r="J532" t="s">
        <v>43</v>
      </c>
      <c r="K532" t="s">
        <v>0</v>
      </c>
      <c r="L532" t="s">
        <v>894</v>
      </c>
      <c r="M532" t="s">
        <v>126</v>
      </c>
    </row>
    <row r="533" spans="1:13" x14ac:dyDescent="0.35">
      <c r="A533" t="s">
        <v>673</v>
      </c>
      <c r="B533">
        <v>1285149236</v>
      </c>
      <c r="C533">
        <v>5434007124</v>
      </c>
      <c r="D533" t="s">
        <v>30</v>
      </c>
      <c r="E533" s="7">
        <v>374</v>
      </c>
      <c r="F533" s="7">
        <v>221</v>
      </c>
      <c r="G533" s="7">
        <v>153</v>
      </c>
      <c r="H533" t="s">
        <v>14</v>
      </c>
      <c r="I533" t="s">
        <v>76</v>
      </c>
      <c r="J533" t="s">
        <v>43</v>
      </c>
      <c r="K533" t="s">
        <v>0</v>
      </c>
      <c r="L533" t="s">
        <v>894</v>
      </c>
      <c r="M533" t="s">
        <v>44</v>
      </c>
    </row>
    <row r="534" spans="1:13" x14ac:dyDescent="0.35">
      <c r="A534" t="s">
        <v>674</v>
      </c>
      <c r="B534">
        <v>3731183929</v>
      </c>
      <c r="C534">
        <v>6489911759</v>
      </c>
      <c r="D534" t="s">
        <v>13</v>
      </c>
      <c r="E534" s="7">
        <v>122</v>
      </c>
      <c r="F534" s="7">
        <v>0</v>
      </c>
      <c r="G534" s="7">
        <v>122</v>
      </c>
      <c r="H534" t="s">
        <v>20</v>
      </c>
      <c r="I534" t="s">
        <v>86</v>
      </c>
      <c r="J534" t="s">
        <v>43</v>
      </c>
      <c r="K534" t="s">
        <v>0</v>
      </c>
      <c r="L534" t="s">
        <v>0</v>
      </c>
      <c r="M534" t="s">
        <v>126</v>
      </c>
    </row>
    <row r="535" spans="1:13" x14ac:dyDescent="0.35">
      <c r="A535" t="s">
        <v>675</v>
      </c>
      <c r="B535">
        <v>2683714426</v>
      </c>
      <c r="C535">
        <v>4681090255</v>
      </c>
      <c r="D535" t="s">
        <v>19</v>
      </c>
      <c r="E535" s="7">
        <v>255</v>
      </c>
      <c r="F535" s="7">
        <v>255</v>
      </c>
      <c r="G535" s="7">
        <v>0</v>
      </c>
      <c r="H535" t="s">
        <v>80</v>
      </c>
      <c r="I535" t="s">
        <v>231</v>
      </c>
      <c r="J535" t="s">
        <v>22</v>
      </c>
      <c r="K535" t="s">
        <v>16</v>
      </c>
      <c r="L535" t="s">
        <v>16</v>
      </c>
      <c r="M535" t="s">
        <v>17</v>
      </c>
    </row>
    <row r="536" spans="1:13" x14ac:dyDescent="0.35">
      <c r="A536" t="s">
        <v>676</v>
      </c>
      <c r="B536">
        <v>8126177635</v>
      </c>
      <c r="C536">
        <v>1916196164</v>
      </c>
      <c r="D536" t="s">
        <v>67</v>
      </c>
      <c r="E536" s="7">
        <v>158</v>
      </c>
      <c r="F536" s="7">
        <v>0</v>
      </c>
      <c r="G536" s="7">
        <v>158</v>
      </c>
      <c r="H536" t="s">
        <v>31</v>
      </c>
      <c r="I536" t="s">
        <v>128</v>
      </c>
      <c r="J536" t="s">
        <v>26</v>
      </c>
      <c r="K536" t="s">
        <v>27</v>
      </c>
      <c r="L536" t="s">
        <v>0</v>
      </c>
      <c r="M536" t="s">
        <v>40</v>
      </c>
    </row>
    <row r="537" spans="1:13" x14ac:dyDescent="0.35">
      <c r="A537" t="s">
        <v>677</v>
      </c>
      <c r="B537">
        <v>6639909230</v>
      </c>
      <c r="C537">
        <v>8095300235</v>
      </c>
      <c r="D537" t="s">
        <v>30</v>
      </c>
      <c r="E537" s="7">
        <v>167</v>
      </c>
      <c r="F537" s="7">
        <v>167</v>
      </c>
      <c r="G537" s="7">
        <v>0</v>
      </c>
      <c r="H537" t="s">
        <v>14</v>
      </c>
      <c r="I537" t="s">
        <v>116</v>
      </c>
      <c r="J537" t="s">
        <v>26</v>
      </c>
      <c r="K537" t="s">
        <v>27</v>
      </c>
      <c r="L537" t="s">
        <v>16</v>
      </c>
      <c r="M537" t="s">
        <v>44</v>
      </c>
    </row>
    <row r="538" spans="1:13" x14ac:dyDescent="0.35">
      <c r="A538" t="s">
        <v>678</v>
      </c>
      <c r="B538">
        <v>2120608102</v>
      </c>
      <c r="C538">
        <v>6190595635</v>
      </c>
      <c r="D538" t="s">
        <v>19</v>
      </c>
      <c r="E538" s="7">
        <v>189</v>
      </c>
      <c r="F538" s="7">
        <v>111</v>
      </c>
      <c r="G538" s="7">
        <v>78</v>
      </c>
      <c r="H538" t="s">
        <v>31</v>
      </c>
      <c r="I538" t="s">
        <v>105</v>
      </c>
      <c r="J538" t="s">
        <v>22</v>
      </c>
      <c r="K538" t="s">
        <v>0</v>
      </c>
      <c r="L538" t="s">
        <v>894</v>
      </c>
      <c r="M538" t="s">
        <v>58</v>
      </c>
    </row>
    <row r="539" spans="1:13" x14ac:dyDescent="0.35">
      <c r="A539" t="s">
        <v>679</v>
      </c>
      <c r="B539">
        <v>7438503646</v>
      </c>
      <c r="C539">
        <v>6992433260</v>
      </c>
      <c r="D539" t="s">
        <v>67</v>
      </c>
      <c r="E539" s="7">
        <v>496</v>
      </c>
      <c r="F539" s="7">
        <v>496</v>
      </c>
      <c r="G539" s="7">
        <v>0</v>
      </c>
      <c r="H539" t="s">
        <v>20</v>
      </c>
      <c r="I539" t="s">
        <v>109</v>
      </c>
      <c r="J539" t="s">
        <v>43</v>
      </c>
      <c r="K539" t="s">
        <v>16</v>
      </c>
      <c r="L539" t="s">
        <v>16</v>
      </c>
      <c r="M539" t="s">
        <v>17</v>
      </c>
    </row>
    <row r="540" spans="1:13" x14ac:dyDescent="0.35">
      <c r="A540" t="s">
        <v>680</v>
      </c>
      <c r="B540">
        <v>368489626</v>
      </c>
      <c r="C540">
        <v>1059135169</v>
      </c>
      <c r="D540" t="s">
        <v>13</v>
      </c>
      <c r="E540" s="7">
        <v>363</v>
      </c>
      <c r="F540" s="7">
        <v>0</v>
      </c>
      <c r="G540" s="7">
        <v>363</v>
      </c>
      <c r="H540" t="s">
        <v>31</v>
      </c>
      <c r="I540" t="s">
        <v>354</v>
      </c>
      <c r="J540" t="s">
        <v>22</v>
      </c>
      <c r="K540" t="s">
        <v>27</v>
      </c>
      <c r="L540" t="s">
        <v>0</v>
      </c>
      <c r="M540" t="s">
        <v>28</v>
      </c>
    </row>
    <row r="541" spans="1:13" x14ac:dyDescent="0.35">
      <c r="A541" t="s">
        <v>681</v>
      </c>
      <c r="B541">
        <v>5392061436</v>
      </c>
      <c r="C541">
        <v>5881013202</v>
      </c>
      <c r="D541" t="s">
        <v>19</v>
      </c>
      <c r="E541" s="7">
        <v>493</v>
      </c>
      <c r="F541" s="7">
        <v>0</v>
      </c>
      <c r="G541" s="7">
        <v>493</v>
      </c>
      <c r="H541" t="s">
        <v>38</v>
      </c>
      <c r="I541" t="s">
        <v>161</v>
      </c>
      <c r="J541" t="s">
        <v>22</v>
      </c>
      <c r="K541" t="s">
        <v>0</v>
      </c>
      <c r="L541" t="s">
        <v>0</v>
      </c>
      <c r="M541" t="s">
        <v>28</v>
      </c>
    </row>
    <row r="542" spans="1:13" x14ac:dyDescent="0.35">
      <c r="A542" t="s">
        <v>682</v>
      </c>
      <c r="B542">
        <v>2604892506</v>
      </c>
      <c r="C542">
        <v>4446018585</v>
      </c>
      <c r="D542" t="s">
        <v>24</v>
      </c>
      <c r="E542" s="7">
        <v>160</v>
      </c>
      <c r="F542" s="7">
        <v>129</v>
      </c>
      <c r="G542" s="7">
        <v>31</v>
      </c>
      <c r="H542" t="s">
        <v>56</v>
      </c>
      <c r="I542" t="s">
        <v>161</v>
      </c>
      <c r="J542" t="s">
        <v>22</v>
      </c>
      <c r="K542" t="s">
        <v>27</v>
      </c>
      <c r="L542" t="s">
        <v>894</v>
      </c>
      <c r="M542" t="s">
        <v>28</v>
      </c>
    </row>
    <row r="543" spans="1:13" x14ac:dyDescent="0.35">
      <c r="A543" t="s">
        <v>683</v>
      </c>
      <c r="B543">
        <v>9949518087</v>
      </c>
      <c r="C543">
        <v>7395493659</v>
      </c>
      <c r="D543" t="s">
        <v>13</v>
      </c>
      <c r="E543" s="7">
        <v>174</v>
      </c>
      <c r="F543" s="7">
        <v>174</v>
      </c>
      <c r="G543" s="7">
        <v>0</v>
      </c>
      <c r="H543" t="s">
        <v>20</v>
      </c>
      <c r="I543" t="s">
        <v>120</v>
      </c>
      <c r="J543" t="s">
        <v>22</v>
      </c>
      <c r="K543" t="s">
        <v>27</v>
      </c>
      <c r="L543" t="s">
        <v>16</v>
      </c>
      <c r="M543" t="s">
        <v>44</v>
      </c>
    </row>
    <row r="544" spans="1:13" x14ac:dyDescent="0.35">
      <c r="A544" t="s">
        <v>684</v>
      </c>
      <c r="B544">
        <v>136197495</v>
      </c>
      <c r="C544">
        <v>85280543</v>
      </c>
      <c r="D544" t="s">
        <v>19</v>
      </c>
      <c r="E544" s="7">
        <v>471</v>
      </c>
      <c r="F544" s="7">
        <v>471</v>
      </c>
      <c r="G544" s="7">
        <v>0</v>
      </c>
      <c r="H544" t="s">
        <v>99</v>
      </c>
      <c r="I544" t="s">
        <v>159</v>
      </c>
      <c r="J544" t="s">
        <v>22</v>
      </c>
      <c r="K544" t="s">
        <v>16</v>
      </c>
      <c r="L544" t="s">
        <v>16</v>
      </c>
      <c r="M544" t="s">
        <v>17</v>
      </c>
    </row>
    <row r="545" spans="1:13" x14ac:dyDescent="0.35">
      <c r="A545" t="s">
        <v>685</v>
      </c>
      <c r="B545">
        <v>3386389235</v>
      </c>
      <c r="C545">
        <v>7991338102</v>
      </c>
      <c r="D545" t="s">
        <v>19</v>
      </c>
      <c r="E545" s="7">
        <v>282</v>
      </c>
      <c r="F545" s="7">
        <v>282</v>
      </c>
      <c r="G545" s="7">
        <v>0</v>
      </c>
      <c r="H545" t="s">
        <v>31</v>
      </c>
      <c r="I545" t="s">
        <v>88</v>
      </c>
      <c r="J545" t="s">
        <v>22</v>
      </c>
      <c r="K545" t="s">
        <v>0</v>
      </c>
      <c r="L545" t="s">
        <v>16</v>
      </c>
      <c r="M545" t="s">
        <v>55</v>
      </c>
    </row>
    <row r="546" spans="1:13" x14ac:dyDescent="0.35">
      <c r="A546" t="s">
        <v>686</v>
      </c>
      <c r="B546">
        <v>6990513328</v>
      </c>
      <c r="C546">
        <v>6442407714</v>
      </c>
      <c r="D546" t="s">
        <v>30</v>
      </c>
      <c r="E546" s="7">
        <v>229</v>
      </c>
      <c r="F546" s="7">
        <v>146</v>
      </c>
      <c r="G546" s="7">
        <v>83</v>
      </c>
      <c r="H546" t="s">
        <v>56</v>
      </c>
      <c r="I546" t="s">
        <v>177</v>
      </c>
      <c r="J546" t="s">
        <v>26</v>
      </c>
      <c r="K546" t="s">
        <v>27</v>
      </c>
      <c r="L546" t="s">
        <v>894</v>
      </c>
      <c r="M546" t="s">
        <v>33</v>
      </c>
    </row>
    <row r="547" spans="1:13" x14ac:dyDescent="0.35">
      <c r="A547" t="s">
        <v>687</v>
      </c>
      <c r="B547">
        <v>8958518789</v>
      </c>
      <c r="C547">
        <v>1059063310</v>
      </c>
      <c r="D547" t="s">
        <v>19</v>
      </c>
      <c r="E547" s="7">
        <v>434</v>
      </c>
      <c r="F547" s="7">
        <v>434</v>
      </c>
      <c r="G547" s="7">
        <v>0</v>
      </c>
      <c r="H547" t="s">
        <v>53</v>
      </c>
      <c r="I547" t="s">
        <v>46</v>
      </c>
      <c r="J547" t="s">
        <v>26</v>
      </c>
      <c r="K547" t="s">
        <v>0</v>
      </c>
      <c r="L547" t="s">
        <v>16</v>
      </c>
      <c r="M547" t="s">
        <v>58</v>
      </c>
    </row>
    <row r="548" spans="1:13" x14ac:dyDescent="0.35">
      <c r="A548" t="s">
        <v>688</v>
      </c>
      <c r="B548">
        <v>7825906211</v>
      </c>
      <c r="C548">
        <v>6443415737</v>
      </c>
      <c r="D548" t="s">
        <v>30</v>
      </c>
      <c r="E548" s="7">
        <v>160</v>
      </c>
      <c r="F548" s="7">
        <v>130</v>
      </c>
      <c r="G548" s="7">
        <v>30</v>
      </c>
      <c r="H548" t="s">
        <v>99</v>
      </c>
      <c r="I548" t="s">
        <v>101</v>
      </c>
      <c r="J548" t="s">
        <v>26</v>
      </c>
      <c r="K548" t="s">
        <v>27</v>
      </c>
      <c r="L548" t="s">
        <v>894</v>
      </c>
      <c r="M548" t="s">
        <v>28</v>
      </c>
    </row>
    <row r="549" spans="1:13" x14ac:dyDescent="0.35">
      <c r="A549" t="s">
        <v>689</v>
      </c>
      <c r="B549">
        <v>766206471</v>
      </c>
      <c r="C549">
        <v>3814907008</v>
      </c>
      <c r="D549" t="s">
        <v>30</v>
      </c>
      <c r="E549" s="7">
        <v>403</v>
      </c>
      <c r="F549" s="7">
        <v>403</v>
      </c>
      <c r="G549" s="7">
        <v>0</v>
      </c>
      <c r="H549" t="s">
        <v>99</v>
      </c>
      <c r="I549" t="s">
        <v>50</v>
      </c>
      <c r="J549" t="s">
        <v>22</v>
      </c>
      <c r="K549" t="s">
        <v>16</v>
      </c>
      <c r="L549" t="s">
        <v>16</v>
      </c>
      <c r="M549" t="s">
        <v>17</v>
      </c>
    </row>
    <row r="550" spans="1:13" x14ac:dyDescent="0.35">
      <c r="A550" t="s">
        <v>690</v>
      </c>
      <c r="B550">
        <v>4893864952</v>
      </c>
      <c r="C550">
        <v>4634814012</v>
      </c>
      <c r="D550" t="s">
        <v>13</v>
      </c>
      <c r="E550" s="7">
        <v>208</v>
      </c>
      <c r="F550" s="7">
        <v>208</v>
      </c>
      <c r="G550" s="7">
        <v>0</v>
      </c>
      <c r="H550" t="s">
        <v>80</v>
      </c>
      <c r="I550" t="s">
        <v>279</v>
      </c>
      <c r="J550" t="s">
        <v>26</v>
      </c>
      <c r="K550" t="s">
        <v>0</v>
      </c>
      <c r="L550" t="s">
        <v>16</v>
      </c>
      <c r="M550" t="s">
        <v>126</v>
      </c>
    </row>
    <row r="551" spans="1:13" x14ac:dyDescent="0.35">
      <c r="A551" t="s">
        <v>691</v>
      </c>
      <c r="B551">
        <v>8100330154</v>
      </c>
      <c r="C551">
        <v>5564767377</v>
      </c>
      <c r="D551" t="s">
        <v>24</v>
      </c>
      <c r="E551" s="7">
        <v>427</v>
      </c>
      <c r="F551" s="7">
        <v>427</v>
      </c>
      <c r="G551" s="7">
        <v>0</v>
      </c>
      <c r="H551" t="s">
        <v>20</v>
      </c>
      <c r="I551" t="s">
        <v>48</v>
      </c>
      <c r="J551" t="s">
        <v>26</v>
      </c>
      <c r="K551" t="s">
        <v>27</v>
      </c>
      <c r="L551" t="s">
        <v>16</v>
      </c>
      <c r="M551" t="s">
        <v>126</v>
      </c>
    </row>
    <row r="552" spans="1:13" x14ac:dyDescent="0.35">
      <c r="A552" t="s">
        <v>692</v>
      </c>
      <c r="B552">
        <v>1981579604</v>
      </c>
      <c r="C552">
        <v>6738912846</v>
      </c>
      <c r="D552" t="s">
        <v>24</v>
      </c>
      <c r="E552" s="7">
        <v>394</v>
      </c>
      <c r="F552" s="7">
        <v>394</v>
      </c>
      <c r="G552" s="7">
        <v>0</v>
      </c>
      <c r="H552" t="s">
        <v>70</v>
      </c>
      <c r="I552" t="s">
        <v>252</v>
      </c>
      <c r="J552" t="s">
        <v>26</v>
      </c>
      <c r="K552" t="s">
        <v>27</v>
      </c>
      <c r="L552" t="s">
        <v>16</v>
      </c>
      <c r="M552" t="s">
        <v>40</v>
      </c>
    </row>
    <row r="553" spans="1:13" x14ac:dyDescent="0.35">
      <c r="A553" t="s">
        <v>693</v>
      </c>
      <c r="B553">
        <v>5530136830</v>
      </c>
      <c r="C553">
        <v>2703285082</v>
      </c>
      <c r="D553" t="s">
        <v>24</v>
      </c>
      <c r="E553" s="7">
        <v>123</v>
      </c>
      <c r="F553" s="7">
        <v>73</v>
      </c>
      <c r="G553" s="7">
        <v>50</v>
      </c>
      <c r="H553" t="s">
        <v>35</v>
      </c>
      <c r="I553" t="s">
        <v>303</v>
      </c>
      <c r="J553" t="s">
        <v>26</v>
      </c>
      <c r="K553" t="s">
        <v>27</v>
      </c>
      <c r="L553" t="s">
        <v>894</v>
      </c>
      <c r="M553" t="s">
        <v>51</v>
      </c>
    </row>
    <row r="554" spans="1:13" x14ac:dyDescent="0.35">
      <c r="A554" t="s">
        <v>694</v>
      </c>
      <c r="B554">
        <v>1875192791</v>
      </c>
      <c r="C554">
        <v>6743799007</v>
      </c>
      <c r="D554" t="s">
        <v>24</v>
      </c>
      <c r="E554" s="7">
        <v>266</v>
      </c>
      <c r="F554" s="7">
        <v>266</v>
      </c>
      <c r="G554" s="7">
        <v>0</v>
      </c>
      <c r="H554" t="s">
        <v>53</v>
      </c>
      <c r="I554" t="s">
        <v>42</v>
      </c>
      <c r="J554" t="s">
        <v>43</v>
      </c>
      <c r="K554" t="s">
        <v>16</v>
      </c>
      <c r="L554" t="s">
        <v>16</v>
      </c>
      <c r="M554" t="s">
        <v>17</v>
      </c>
    </row>
    <row r="555" spans="1:13" x14ac:dyDescent="0.35">
      <c r="A555" t="s">
        <v>695</v>
      </c>
      <c r="B555">
        <v>3966361053</v>
      </c>
      <c r="C555">
        <v>4551800170</v>
      </c>
      <c r="D555" t="s">
        <v>19</v>
      </c>
      <c r="E555" s="7">
        <v>467</v>
      </c>
      <c r="F555" s="7">
        <v>283</v>
      </c>
      <c r="G555" s="7">
        <v>184</v>
      </c>
      <c r="H555" t="s">
        <v>53</v>
      </c>
      <c r="I555" t="s">
        <v>268</v>
      </c>
      <c r="J555" t="s">
        <v>26</v>
      </c>
      <c r="K555" t="s">
        <v>27</v>
      </c>
      <c r="L555" t="s">
        <v>894</v>
      </c>
      <c r="M555" t="s">
        <v>126</v>
      </c>
    </row>
    <row r="556" spans="1:13" x14ac:dyDescent="0.35">
      <c r="A556" t="s">
        <v>696</v>
      </c>
      <c r="B556">
        <v>1279913184</v>
      </c>
      <c r="C556">
        <v>9851805454</v>
      </c>
      <c r="D556" t="s">
        <v>67</v>
      </c>
      <c r="E556" s="7">
        <v>163</v>
      </c>
      <c r="F556" s="7">
        <v>163</v>
      </c>
      <c r="G556" s="7">
        <v>0</v>
      </c>
      <c r="H556" t="s">
        <v>56</v>
      </c>
      <c r="I556" t="s">
        <v>281</v>
      </c>
      <c r="J556" t="s">
        <v>43</v>
      </c>
      <c r="K556" t="s">
        <v>16</v>
      </c>
      <c r="L556" t="s">
        <v>16</v>
      </c>
      <c r="M556" t="s">
        <v>17</v>
      </c>
    </row>
    <row r="557" spans="1:13" x14ac:dyDescent="0.35">
      <c r="A557" t="s">
        <v>697</v>
      </c>
      <c r="B557">
        <v>6297166856</v>
      </c>
      <c r="C557">
        <v>915802079</v>
      </c>
      <c r="D557" t="s">
        <v>13</v>
      </c>
      <c r="E557" s="7">
        <v>153</v>
      </c>
      <c r="F557" s="7">
        <v>93</v>
      </c>
      <c r="G557" s="7">
        <v>60</v>
      </c>
      <c r="H557" t="s">
        <v>80</v>
      </c>
      <c r="I557" t="s">
        <v>125</v>
      </c>
      <c r="J557" t="s">
        <v>43</v>
      </c>
      <c r="K557" t="s">
        <v>0</v>
      </c>
      <c r="L557" t="s">
        <v>894</v>
      </c>
      <c r="M557" t="s">
        <v>51</v>
      </c>
    </row>
    <row r="558" spans="1:13" x14ac:dyDescent="0.35">
      <c r="A558" t="s">
        <v>698</v>
      </c>
      <c r="B558">
        <v>9775349310</v>
      </c>
      <c r="C558">
        <v>6882527793</v>
      </c>
      <c r="D558" t="s">
        <v>67</v>
      </c>
      <c r="E558" s="7">
        <v>223</v>
      </c>
      <c r="F558" s="7">
        <v>132</v>
      </c>
      <c r="G558" s="7">
        <v>91</v>
      </c>
      <c r="H558" t="s">
        <v>31</v>
      </c>
      <c r="I558" t="s">
        <v>303</v>
      </c>
      <c r="J558" t="s">
        <v>43</v>
      </c>
      <c r="K558" t="s">
        <v>0</v>
      </c>
      <c r="L558" t="s">
        <v>894</v>
      </c>
      <c r="M558" t="s">
        <v>33</v>
      </c>
    </row>
    <row r="559" spans="1:13" x14ac:dyDescent="0.35">
      <c r="A559" t="s">
        <v>699</v>
      </c>
      <c r="B559">
        <v>1634518964</v>
      </c>
      <c r="C559">
        <v>9476985881</v>
      </c>
      <c r="D559" t="s">
        <v>13</v>
      </c>
      <c r="E559" s="7">
        <v>493</v>
      </c>
      <c r="F559" s="7">
        <v>493</v>
      </c>
      <c r="G559" s="7">
        <v>0</v>
      </c>
      <c r="H559" t="s">
        <v>80</v>
      </c>
      <c r="I559" t="s">
        <v>251</v>
      </c>
      <c r="J559" t="s">
        <v>26</v>
      </c>
      <c r="K559" t="s">
        <v>16</v>
      </c>
      <c r="L559" t="s">
        <v>16</v>
      </c>
      <c r="M559" t="s">
        <v>17</v>
      </c>
    </row>
    <row r="560" spans="1:13" x14ac:dyDescent="0.35">
      <c r="A560" t="s">
        <v>700</v>
      </c>
      <c r="B560">
        <v>8111897515</v>
      </c>
      <c r="C560">
        <v>8971633114</v>
      </c>
      <c r="D560" t="s">
        <v>67</v>
      </c>
      <c r="E560" s="7">
        <v>234</v>
      </c>
      <c r="F560" s="7">
        <v>234</v>
      </c>
      <c r="G560" s="7">
        <v>0</v>
      </c>
      <c r="H560" t="s">
        <v>53</v>
      </c>
      <c r="I560" t="s">
        <v>92</v>
      </c>
      <c r="J560" t="s">
        <v>43</v>
      </c>
      <c r="K560" t="s">
        <v>0</v>
      </c>
      <c r="L560" t="s">
        <v>16</v>
      </c>
      <c r="M560" t="s">
        <v>126</v>
      </c>
    </row>
    <row r="561" spans="1:13" x14ac:dyDescent="0.35">
      <c r="A561" t="s">
        <v>701</v>
      </c>
      <c r="B561">
        <v>1471448010</v>
      </c>
      <c r="C561">
        <v>3682648369</v>
      </c>
      <c r="D561" t="s">
        <v>24</v>
      </c>
      <c r="E561" s="7">
        <v>106</v>
      </c>
      <c r="F561" s="7">
        <v>106</v>
      </c>
      <c r="G561" s="7">
        <v>0</v>
      </c>
      <c r="H561" t="s">
        <v>38</v>
      </c>
      <c r="I561" t="s">
        <v>189</v>
      </c>
      <c r="J561" t="s">
        <v>43</v>
      </c>
      <c r="K561" t="s">
        <v>0</v>
      </c>
      <c r="L561" t="s">
        <v>16</v>
      </c>
      <c r="M561" t="s">
        <v>44</v>
      </c>
    </row>
    <row r="562" spans="1:13" x14ac:dyDescent="0.35">
      <c r="A562" t="s">
        <v>702</v>
      </c>
      <c r="B562">
        <v>8076796115</v>
      </c>
      <c r="C562">
        <v>5476158086</v>
      </c>
      <c r="D562" t="s">
        <v>67</v>
      </c>
      <c r="E562" s="7">
        <v>499</v>
      </c>
      <c r="F562" s="7">
        <v>499</v>
      </c>
      <c r="G562" s="7">
        <v>0</v>
      </c>
      <c r="H562" t="s">
        <v>38</v>
      </c>
      <c r="I562" t="s">
        <v>63</v>
      </c>
      <c r="J562" t="s">
        <v>26</v>
      </c>
      <c r="K562" t="s">
        <v>16</v>
      </c>
      <c r="L562" t="s">
        <v>16</v>
      </c>
      <c r="M562" t="s">
        <v>17</v>
      </c>
    </row>
    <row r="563" spans="1:13" x14ac:dyDescent="0.35">
      <c r="A563" t="s">
        <v>703</v>
      </c>
      <c r="B563">
        <v>5835602245</v>
      </c>
      <c r="C563">
        <v>8105343872</v>
      </c>
      <c r="D563" t="s">
        <v>13</v>
      </c>
      <c r="E563" s="7">
        <v>102</v>
      </c>
      <c r="F563" s="7">
        <v>0</v>
      </c>
      <c r="G563" s="7">
        <v>102</v>
      </c>
      <c r="H563" t="s">
        <v>14</v>
      </c>
      <c r="I563" t="s">
        <v>94</v>
      </c>
      <c r="J563" t="s">
        <v>26</v>
      </c>
      <c r="K563" t="s">
        <v>27</v>
      </c>
      <c r="L563" t="s">
        <v>0</v>
      </c>
      <c r="M563" t="s">
        <v>28</v>
      </c>
    </row>
    <row r="564" spans="1:13" x14ac:dyDescent="0.35">
      <c r="A564" t="s">
        <v>704</v>
      </c>
      <c r="B564">
        <v>6386975836</v>
      </c>
      <c r="C564">
        <v>6894773821</v>
      </c>
      <c r="D564" t="s">
        <v>24</v>
      </c>
      <c r="E564" s="7">
        <v>261</v>
      </c>
      <c r="F564" s="7">
        <v>216</v>
      </c>
      <c r="G564" s="7">
        <v>45</v>
      </c>
      <c r="H564" t="s">
        <v>20</v>
      </c>
      <c r="I564" t="s">
        <v>268</v>
      </c>
      <c r="J564" t="s">
        <v>26</v>
      </c>
      <c r="K564" t="s">
        <v>0</v>
      </c>
      <c r="L564" t="s">
        <v>894</v>
      </c>
      <c r="M564" t="s">
        <v>28</v>
      </c>
    </row>
    <row r="565" spans="1:13" x14ac:dyDescent="0.35">
      <c r="A565" t="s">
        <v>705</v>
      </c>
      <c r="B565">
        <v>2984792296</v>
      </c>
      <c r="C565">
        <v>200837641</v>
      </c>
      <c r="D565" t="s">
        <v>30</v>
      </c>
      <c r="E565" s="7">
        <v>273</v>
      </c>
      <c r="F565" s="7">
        <v>226</v>
      </c>
      <c r="G565" s="7">
        <v>47</v>
      </c>
      <c r="H565" t="s">
        <v>31</v>
      </c>
      <c r="I565" t="s">
        <v>180</v>
      </c>
      <c r="J565" t="s">
        <v>43</v>
      </c>
      <c r="K565" t="s">
        <v>27</v>
      </c>
      <c r="L565" t="s">
        <v>894</v>
      </c>
      <c r="M565" t="s">
        <v>51</v>
      </c>
    </row>
    <row r="566" spans="1:13" x14ac:dyDescent="0.35">
      <c r="A566" t="s">
        <v>706</v>
      </c>
      <c r="B566">
        <v>8613123040</v>
      </c>
      <c r="C566">
        <v>2880032021</v>
      </c>
      <c r="D566" t="s">
        <v>13</v>
      </c>
      <c r="E566" s="7">
        <v>253</v>
      </c>
      <c r="F566" s="7">
        <v>164</v>
      </c>
      <c r="G566" s="7">
        <v>89</v>
      </c>
      <c r="H566" t="s">
        <v>99</v>
      </c>
      <c r="I566" t="s">
        <v>81</v>
      </c>
      <c r="J566" t="s">
        <v>22</v>
      </c>
      <c r="K566" t="s">
        <v>27</v>
      </c>
      <c r="L566" t="s">
        <v>894</v>
      </c>
      <c r="M566" t="s">
        <v>44</v>
      </c>
    </row>
    <row r="567" spans="1:13" x14ac:dyDescent="0.35">
      <c r="A567" t="s">
        <v>707</v>
      </c>
      <c r="B567">
        <v>738289739</v>
      </c>
      <c r="C567">
        <v>9589812752</v>
      </c>
      <c r="D567" t="s">
        <v>13</v>
      </c>
      <c r="E567" s="7">
        <v>130</v>
      </c>
      <c r="F567" s="7">
        <v>130</v>
      </c>
      <c r="G567" s="7">
        <v>0</v>
      </c>
      <c r="H567" t="s">
        <v>53</v>
      </c>
      <c r="I567" t="s">
        <v>231</v>
      </c>
      <c r="J567" t="s">
        <v>43</v>
      </c>
      <c r="K567" t="s">
        <v>0</v>
      </c>
      <c r="L567" t="s">
        <v>16</v>
      </c>
      <c r="M567" t="s">
        <v>51</v>
      </c>
    </row>
    <row r="568" spans="1:13" x14ac:dyDescent="0.35">
      <c r="A568" t="s">
        <v>708</v>
      </c>
      <c r="B568">
        <v>1361115956</v>
      </c>
      <c r="C568">
        <v>3244418302</v>
      </c>
      <c r="D568" t="s">
        <v>19</v>
      </c>
      <c r="E568" s="7">
        <v>258</v>
      </c>
      <c r="F568" s="7">
        <v>258</v>
      </c>
      <c r="G568" s="7">
        <v>0</v>
      </c>
      <c r="H568" t="s">
        <v>80</v>
      </c>
      <c r="I568" t="s">
        <v>128</v>
      </c>
      <c r="J568" t="s">
        <v>26</v>
      </c>
      <c r="K568" t="s">
        <v>16</v>
      </c>
      <c r="L568" t="s">
        <v>16</v>
      </c>
      <c r="M568" t="s">
        <v>17</v>
      </c>
    </row>
    <row r="569" spans="1:13" x14ac:dyDescent="0.35">
      <c r="A569" t="s">
        <v>709</v>
      </c>
      <c r="B569">
        <v>2757348879</v>
      </c>
      <c r="C569">
        <v>7931463843</v>
      </c>
      <c r="D569" t="s">
        <v>19</v>
      </c>
      <c r="E569" s="7">
        <v>293</v>
      </c>
      <c r="F569" s="7">
        <v>293</v>
      </c>
      <c r="G569" s="7">
        <v>0</v>
      </c>
      <c r="H569" t="s">
        <v>70</v>
      </c>
      <c r="I569" t="s">
        <v>54</v>
      </c>
      <c r="J569" t="s">
        <v>26</v>
      </c>
      <c r="K569" t="s">
        <v>0</v>
      </c>
      <c r="L569" t="s">
        <v>16</v>
      </c>
      <c r="M569" t="s">
        <v>44</v>
      </c>
    </row>
    <row r="570" spans="1:13" x14ac:dyDescent="0.35">
      <c r="A570" t="s">
        <v>710</v>
      </c>
      <c r="B570">
        <v>4447986801</v>
      </c>
      <c r="C570">
        <v>3266439676</v>
      </c>
      <c r="D570" t="s">
        <v>30</v>
      </c>
      <c r="E570" s="7">
        <v>410</v>
      </c>
      <c r="F570" s="7">
        <v>0</v>
      </c>
      <c r="G570" s="7">
        <v>410</v>
      </c>
      <c r="H570" t="s">
        <v>70</v>
      </c>
      <c r="I570" t="s">
        <v>72</v>
      </c>
      <c r="J570" t="s">
        <v>22</v>
      </c>
      <c r="K570" t="s">
        <v>0</v>
      </c>
      <c r="L570" t="s">
        <v>0</v>
      </c>
      <c r="M570" t="s">
        <v>40</v>
      </c>
    </row>
    <row r="571" spans="1:13" x14ac:dyDescent="0.35">
      <c r="A571" t="s">
        <v>711</v>
      </c>
      <c r="B571">
        <v>6069303896</v>
      </c>
      <c r="C571">
        <v>8561702107</v>
      </c>
      <c r="D571" t="s">
        <v>24</v>
      </c>
      <c r="E571" s="7">
        <v>493</v>
      </c>
      <c r="F571" s="7">
        <v>493</v>
      </c>
      <c r="G571" s="7">
        <v>0</v>
      </c>
      <c r="H571" t="s">
        <v>56</v>
      </c>
      <c r="I571" t="s">
        <v>122</v>
      </c>
      <c r="J571" t="s">
        <v>43</v>
      </c>
      <c r="K571" t="s">
        <v>16</v>
      </c>
      <c r="L571" t="s">
        <v>16</v>
      </c>
      <c r="M571" t="s">
        <v>17</v>
      </c>
    </row>
    <row r="572" spans="1:13" x14ac:dyDescent="0.35">
      <c r="A572" t="s">
        <v>712</v>
      </c>
      <c r="B572">
        <v>2482921873</v>
      </c>
      <c r="C572">
        <v>6220374170</v>
      </c>
      <c r="D572" t="s">
        <v>30</v>
      </c>
      <c r="E572" s="7">
        <v>475</v>
      </c>
      <c r="F572" s="7">
        <v>0</v>
      </c>
      <c r="G572" s="7">
        <v>475</v>
      </c>
      <c r="H572" t="s">
        <v>80</v>
      </c>
      <c r="I572" t="s">
        <v>86</v>
      </c>
      <c r="J572" t="s">
        <v>26</v>
      </c>
      <c r="K572" t="s">
        <v>27</v>
      </c>
      <c r="L572" t="s">
        <v>0</v>
      </c>
      <c r="M572" t="s">
        <v>28</v>
      </c>
    </row>
    <row r="573" spans="1:13" x14ac:dyDescent="0.35">
      <c r="A573" t="s">
        <v>713</v>
      </c>
      <c r="B573">
        <v>1403659420</v>
      </c>
      <c r="C573">
        <v>6230880952</v>
      </c>
      <c r="D573" t="s">
        <v>67</v>
      </c>
      <c r="E573" s="7">
        <v>144</v>
      </c>
      <c r="F573" s="7">
        <v>0</v>
      </c>
      <c r="G573" s="7">
        <v>144</v>
      </c>
      <c r="H573" t="s">
        <v>99</v>
      </c>
      <c r="I573" t="s">
        <v>189</v>
      </c>
      <c r="J573" t="s">
        <v>26</v>
      </c>
      <c r="K573" t="s">
        <v>27</v>
      </c>
      <c r="L573" t="s">
        <v>0</v>
      </c>
      <c r="M573" t="s">
        <v>51</v>
      </c>
    </row>
    <row r="574" spans="1:13" x14ac:dyDescent="0.35">
      <c r="A574" t="s">
        <v>714</v>
      </c>
      <c r="B574">
        <v>9760748135</v>
      </c>
      <c r="C574">
        <v>4887462294</v>
      </c>
      <c r="D574" t="s">
        <v>13</v>
      </c>
      <c r="E574" s="7">
        <v>194</v>
      </c>
      <c r="F574" s="7">
        <v>194</v>
      </c>
      <c r="G574" s="7">
        <v>0</v>
      </c>
      <c r="H574" t="s">
        <v>35</v>
      </c>
      <c r="I574" t="s">
        <v>85</v>
      </c>
      <c r="J574" t="s">
        <v>22</v>
      </c>
      <c r="K574" t="s">
        <v>27</v>
      </c>
      <c r="L574" t="s">
        <v>16</v>
      </c>
      <c r="M574" t="s">
        <v>33</v>
      </c>
    </row>
    <row r="575" spans="1:13" x14ac:dyDescent="0.35">
      <c r="A575" t="s">
        <v>715</v>
      </c>
      <c r="B575">
        <v>6157503898</v>
      </c>
      <c r="C575">
        <v>2527697483</v>
      </c>
      <c r="D575" t="s">
        <v>67</v>
      </c>
      <c r="E575" s="7">
        <v>221</v>
      </c>
      <c r="F575" s="7">
        <v>221</v>
      </c>
      <c r="G575" s="7">
        <v>0</v>
      </c>
      <c r="H575" t="s">
        <v>53</v>
      </c>
      <c r="I575" t="s">
        <v>177</v>
      </c>
      <c r="J575" t="s">
        <v>22</v>
      </c>
      <c r="K575" t="s">
        <v>16</v>
      </c>
      <c r="L575" t="s">
        <v>16</v>
      </c>
      <c r="M575" t="s">
        <v>17</v>
      </c>
    </row>
    <row r="576" spans="1:13" x14ac:dyDescent="0.35">
      <c r="A576" t="s">
        <v>716</v>
      </c>
      <c r="B576">
        <v>3606916645</v>
      </c>
      <c r="C576">
        <v>1926087270</v>
      </c>
      <c r="D576" t="s">
        <v>67</v>
      </c>
      <c r="E576" s="7">
        <v>268</v>
      </c>
      <c r="F576" s="7">
        <v>268</v>
      </c>
      <c r="G576" s="7">
        <v>0</v>
      </c>
      <c r="H576" t="s">
        <v>70</v>
      </c>
      <c r="I576" t="s">
        <v>114</v>
      </c>
      <c r="J576" t="s">
        <v>26</v>
      </c>
      <c r="K576" t="s">
        <v>27</v>
      </c>
      <c r="L576" t="s">
        <v>16</v>
      </c>
      <c r="M576" t="s">
        <v>44</v>
      </c>
    </row>
    <row r="577" spans="1:13" x14ac:dyDescent="0.35">
      <c r="A577" t="s">
        <v>717</v>
      </c>
      <c r="B577">
        <v>8157949215</v>
      </c>
      <c r="C577">
        <v>2094235196</v>
      </c>
      <c r="D577" t="s">
        <v>67</v>
      </c>
      <c r="E577" s="7">
        <v>407</v>
      </c>
      <c r="F577" s="7">
        <v>0</v>
      </c>
      <c r="G577" s="7">
        <v>407</v>
      </c>
      <c r="H577" t="s">
        <v>99</v>
      </c>
      <c r="I577" t="s">
        <v>57</v>
      </c>
      <c r="J577" t="s">
        <v>26</v>
      </c>
      <c r="K577" t="s">
        <v>0</v>
      </c>
      <c r="L577" t="s">
        <v>0</v>
      </c>
      <c r="M577" t="s">
        <v>44</v>
      </c>
    </row>
    <row r="578" spans="1:13" x14ac:dyDescent="0.35">
      <c r="A578" t="s">
        <v>718</v>
      </c>
      <c r="B578">
        <v>7067651979</v>
      </c>
      <c r="C578">
        <v>2449550735</v>
      </c>
      <c r="D578" t="s">
        <v>30</v>
      </c>
      <c r="E578" s="7">
        <v>224</v>
      </c>
      <c r="F578" s="7">
        <v>224</v>
      </c>
      <c r="G578" s="7">
        <v>0</v>
      </c>
      <c r="H578" t="s">
        <v>35</v>
      </c>
      <c r="I578" t="s">
        <v>231</v>
      </c>
      <c r="J578" t="s">
        <v>43</v>
      </c>
      <c r="K578" t="s">
        <v>16</v>
      </c>
      <c r="L578" t="s">
        <v>16</v>
      </c>
      <c r="M578" t="s">
        <v>17</v>
      </c>
    </row>
    <row r="579" spans="1:13" x14ac:dyDescent="0.35">
      <c r="A579" t="s">
        <v>719</v>
      </c>
      <c r="B579">
        <v>3589830297</v>
      </c>
      <c r="C579">
        <v>2564297802</v>
      </c>
      <c r="D579" t="s">
        <v>67</v>
      </c>
      <c r="E579" s="7">
        <v>336</v>
      </c>
      <c r="F579" s="7">
        <v>336</v>
      </c>
      <c r="G579" s="7">
        <v>0</v>
      </c>
      <c r="H579" t="s">
        <v>53</v>
      </c>
      <c r="I579" t="s">
        <v>96</v>
      </c>
      <c r="J579" t="s">
        <v>22</v>
      </c>
      <c r="K579" t="s">
        <v>16</v>
      </c>
      <c r="L579" t="s">
        <v>16</v>
      </c>
      <c r="M579" t="s">
        <v>17</v>
      </c>
    </row>
    <row r="580" spans="1:13" x14ac:dyDescent="0.35">
      <c r="A580" t="s">
        <v>720</v>
      </c>
      <c r="B580">
        <v>6906960537</v>
      </c>
      <c r="C580">
        <v>8162680768</v>
      </c>
      <c r="D580" t="s">
        <v>67</v>
      </c>
      <c r="E580" s="7">
        <v>206</v>
      </c>
      <c r="F580" s="7">
        <v>206</v>
      </c>
      <c r="G580" s="7">
        <v>0</v>
      </c>
      <c r="H580" t="s">
        <v>56</v>
      </c>
      <c r="I580" t="s">
        <v>237</v>
      </c>
      <c r="J580" t="s">
        <v>26</v>
      </c>
      <c r="K580" t="s">
        <v>16</v>
      </c>
      <c r="L580" t="s">
        <v>16</v>
      </c>
      <c r="M580" t="s">
        <v>17</v>
      </c>
    </row>
    <row r="581" spans="1:13" x14ac:dyDescent="0.35">
      <c r="A581" t="s">
        <v>721</v>
      </c>
      <c r="B581">
        <v>8167248958</v>
      </c>
      <c r="C581">
        <v>5110005106</v>
      </c>
      <c r="D581" t="s">
        <v>13</v>
      </c>
      <c r="E581" s="7">
        <v>315</v>
      </c>
      <c r="F581" s="7">
        <v>315</v>
      </c>
      <c r="G581" s="7">
        <v>0</v>
      </c>
      <c r="H581" t="s">
        <v>53</v>
      </c>
      <c r="I581" t="s">
        <v>303</v>
      </c>
      <c r="J581" t="s">
        <v>43</v>
      </c>
      <c r="K581" t="s">
        <v>0</v>
      </c>
      <c r="L581" t="s">
        <v>16</v>
      </c>
      <c r="M581" t="s">
        <v>126</v>
      </c>
    </row>
    <row r="582" spans="1:13" x14ac:dyDescent="0.35">
      <c r="A582" t="s">
        <v>722</v>
      </c>
      <c r="B582">
        <v>1349303532</v>
      </c>
      <c r="C582">
        <v>6901213080</v>
      </c>
      <c r="D582" t="s">
        <v>13</v>
      </c>
      <c r="E582" s="7">
        <v>241</v>
      </c>
      <c r="F582" s="7">
        <v>0</v>
      </c>
      <c r="G582" s="7">
        <v>241</v>
      </c>
      <c r="H582" t="s">
        <v>53</v>
      </c>
      <c r="I582" t="s">
        <v>138</v>
      </c>
      <c r="J582" t="s">
        <v>26</v>
      </c>
      <c r="K582" t="s">
        <v>27</v>
      </c>
      <c r="L582" t="s">
        <v>0</v>
      </c>
      <c r="M582" t="s">
        <v>126</v>
      </c>
    </row>
    <row r="583" spans="1:13" x14ac:dyDescent="0.35">
      <c r="A583" t="s">
        <v>723</v>
      </c>
      <c r="B583">
        <v>3898126236</v>
      </c>
      <c r="C583">
        <v>7755790536</v>
      </c>
      <c r="D583" t="s">
        <v>24</v>
      </c>
      <c r="E583" s="7">
        <v>411</v>
      </c>
      <c r="F583" s="7">
        <v>363</v>
      </c>
      <c r="G583" s="7">
        <v>48</v>
      </c>
      <c r="H583" t="s">
        <v>14</v>
      </c>
      <c r="I583" t="s">
        <v>39</v>
      </c>
      <c r="J583" t="s">
        <v>22</v>
      </c>
      <c r="K583" t="s">
        <v>27</v>
      </c>
      <c r="L583" t="s">
        <v>894</v>
      </c>
      <c r="M583" t="s">
        <v>58</v>
      </c>
    </row>
    <row r="584" spans="1:13" x14ac:dyDescent="0.35">
      <c r="A584" t="s">
        <v>724</v>
      </c>
      <c r="B584">
        <v>4846562775</v>
      </c>
      <c r="C584">
        <v>6674193644</v>
      </c>
      <c r="D584" t="s">
        <v>13</v>
      </c>
      <c r="E584" s="7">
        <v>493</v>
      </c>
      <c r="F584" s="7">
        <v>493</v>
      </c>
      <c r="G584" s="7">
        <v>0</v>
      </c>
      <c r="H584" t="s">
        <v>53</v>
      </c>
      <c r="I584" t="s">
        <v>419</v>
      </c>
      <c r="J584" t="s">
        <v>22</v>
      </c>
      <c r="K584" t="s">
        <v>16</v>
      </c>
      <c r="L584" t="s">
        <v>16</v>
      </c>
      <c r="M584" t="s">
        <v>17</v>
      </c>
    </row>
    <row r="585" spans="1:13" x14ac:dyDescent="0.35">
      <c r="A585" t="s">
        <v>725</v>
      </c>
      <c r="B585">
        <v>7918210703</v>
      </c>
      <c r="C585">
        <v>3243112441</v>
      </c>
      <c r="D585" t="s">
        <v>30</v>
      </c>
      <c r="E585" s="7">
        <v>398</v>
      </c>
      <c r="F585" s="7">
        <v>398</v>
      </c>
      <c r="G585" s="7">
        <v>0</v>
      </c>
      <c r="H585" t="s">
        <v>70</v>
      </c>
      <c r="I585" t="s">
        <v>306</v>
      </c>
      <c r="J585" t="s">
        <v>22</v>
      </c>
      <c r="K585" t="s">
        <v>0</v>
      </c>
      <c r="L585" t="s">
        <v>16</v>
      </c>
      <c r="M585" t="s">
        <v>126</v>
      </c>
    </row>
    <row r="586" spans="1:13" x14ac:dyDescent="0.35">
      <c r="A586" t="s">
        <v>726</v>
      </c>
      <c r="B586">
        <v>5216866341</v>
      </c>
      <c r="C586">
        <v>5837656993</v>
      </c>
      <c r="D586" t="s">
        <v>67</v>
      </c>
      <c r="E586" s="7">
        <v>435</v>
      </c>
      <c r="F586" s="7">
        <v>435</v>
      </c>
      <c r="G586" s="7">
        <v>0</v>
      </c>
      <c r="H586" t="s">
        <v>14</v>
      </c>
      <c r="I586" t="s">
        <v>50</v>
      </c>
      <c r="J586" t="s">
        <v>26</v>
      </c>
      <c r="K586" t="s">
        <v>0</v>
      </c>
      <c r="L586" t="s">
        <v>16</v>
      </c>
      <c r="M586" t="s">
        <v>58</v>
      </c>
    </row>
    <row r="587" spans="1:13" x14ac:dyDescent="0.35">
      <c r="A587" t="s">
        <v>727</v>
      </c>
      <c r="B587">
        <v>7186219377</v>
      </c>
      <c r="C587">
        <v>4447680862</v>
      </c>
      <c r="D587" t="s">
        <v>13</v>
      </c>
      <c r="E587" s="7">
        <v>254</v>
      </c>
      <c r="F587" s="7">
        <v>0</v>
      </c>
      <c r="G587" s="7">
        <v>254</v>
      </c>
      <c r="H587" t="s">
        <v>20</v>
      </c>
      <c r="I587" t="s">
        <v>85</v>
      </c>
      <c r="J587" t="s">
        <v>22</v>
      </c>
      <c r="K587" t="s">
        <v>27</v>
      </c>
      <c r="L587" t="s">
        <v>0</v>
      </c>
      <c r="M587" t="s">
        <v>58</v>
      </c>
    </row>
    <row r="588" spans="1:13" x14ac:dyDescent="0.35">
      <c r="A588" t="s">
        <v>728</v>
      </c>
      <c r="B588">
        <v>921406073</v>
      </c>
      <c r="C588">
        <v>337136021</v>
      </c>
      <c r="D588" t="s">
        <v>24</v>
      </c>
      <c r="E588" s="7">
        <v>172</v>
      </c>
      <c r="F588" s="7">
        <v>172</v>
      </c>
      <c r="G588" s="7">
        <v>0</v>
      </c>
      <c r="H588" t="s">
        <v>99</v>
      </c>
      <c r="I588" t="s">
        <v>149</v>
      </c>
      <c r="J588" t="s">
        <v>43</v>
      </c>
      <c r="K588" t="s">
        <v>27</v>
      </c>
      <c r="L588" t="s">
        <v>16</v>
      </c>
      <c r="M588" t="s">
        <v>51</v>
      </c>
    </row>
    <row r="589" spans="1:13" x14ac:dyDescent="0.35">
      <c r="A589" t="s">
        <v>729</v>
      </c>
      <c r="B589">
        <v>4572538149</v>
      </c>
      <c r="C589">
        <v>7219235174</v>
      </c>
      <c r="D589" t="s">
        <v>13</v>
      </c>
      <c r="E589" s="7">
        <v>104</v>
      </c>
      <c r="F589" s="7">
        <v>0</v>
      </c>
      <c r="G589" s="7">
        <v>104</v>
      </c>
      <c r="H589" t="s">
        <v>38</v>
      </c>
      <c r="I589" t="s">
        <v>72</v>
      </c>
      <c r="J589" t="s">
        <v>22</v>
      </c>
      <c r="K589" t="s">
        <v>27</v>
      </c>
      <c r="L589" t="s">
        <v>0</v>
      </c>
      <c r="M589" t="s">
        <v>28</v>
      </c>
    </row>
    <row r="590" spans="1:13" x14ac:dyDescent="0.35">
      <c r="A590" t="s">
        <v>730</v>
      </c>
      <c r="B590">
        <v>2863491959</v>
      </c>
      <c r="C590">
        <v>6354787758</v>
      </c>
      <c r="D590" t="s">
        <v>13</v>
      </c>
      <c r="E590" s="7">
        <v>256</v>
      </c>
      <c r="F590" s="7">
        <v>256</v>
      </c>
      <c r="G590" s="7">
        <v>0</v>
      </c>
      <c r="H590" t="s">
        <v>20</v>
      </c>
      <c r="I590" t="s">
        <v>215</v>
      </c>
      <c r="J590" t="s">
        <v>43</v>
      </c>
      <c r="K590" t="s">
        <v>27</v>
      </c>
      <c r="L590" t="s">
        <v>16</v>
      </c>
      <c r="M590" t="s">
        <v>126</v>
      </c>
    </row>
    <row r="591" spans="1:13" x14ac:dyDescent="0.35">
      <c r="A591" t="s">
        <v>731</v>
      </c>
      <c r="B591">
        <v>6266713415</v>
      </c>
      <c r="C591">
        <v>9070895892</v>
      </c>
      <c r="D591" t="s">
        <v>24</v>
      </c>
      <c r="E591" s="7">
        <v>434</v>
      </c>
      <c r="F591" s="7">
        <v>352</v>
      </c>
      <c r="G591" s="7">
        <v>82</v>
      </c>
      <c r="H591" t="s">
        <v>31</v>
      </c>
      <c r="I591" t="s">
        <v>254</v>
      </c>
      <c r="J591" t="s">
        <v>26</v>
      </c>
      <c r="K591" t="s">
        <v>27</v>
      </c>
      <c r="L591" t="s">
        <v>894</v>
      </c>
      <c r="M591" t="s">
        <v>40</v>
      </c>
    </row>
    <row r="592" spans="1:13" x14ac:dyDescent="0.35">
      <c r="A592" t="s">
        <v>732</v>
      </c>
      <c r="B592">
        <v>6077384529</v>
      </c>
      <c r="C592">
        <v>7465288519</v>
      </c>
      <c r="D592" t="s">
        <v>30</v>
      </c>
      <c r="E592" s="7">
        <v>187</v>
      </c>
      <c r="F592" s="7">
        <v>0</v>
      </c>
      <c r="G592" s="7">
        <v>187</v>
      </c>
      <c r="H592" t="s">
        <v>38</v>
      </c>
      <c r="I592" t="s">
        <v>465</v>
      </c>
      <c r="J592" t="s">
        <v>26</v>
      </c>
      <c r="K592" t="s">
        <v>0</v>
      </c>
      <c r="L592" t="s">
        <v>0</v>
      </c>
      <c r="M592" t="s">
        <v>58</v>
      </c>
    </row>
    <row r="593" spans="1:13" x14ac:dyDescent="0.35">
      <c r="A593" t="s">
        <v>733</v>
      </c>
      <c r="B593">
        <v>1082035342</v>
      </c>
      <c r="C593">
        <v>6177072666</v>
      </c>
      <c r="D593" t="s">
        <v>19</v>
      </c>
      <c r="E593" s="7">
        <v>294</v>
      </c>
      <c r="F593" s="7">
        <v>209</v>
      </c>
      <c r="G593" s="7">
        <v>85</v>
      </c>
      <c r="H593" t="s">
        <v>99</v>
      </c>
      <c r="I593" t="s">
        <v>88</v>
      </c>
      <c r="J593" t="s">
        <v>43</v>
      </c>
      <c r="K593" t="s">
        <v>27</v>
      </c>
      <c r="L593" t="s">
        <v>894</v>
      </c>
      <c r="M593" t="s">
        <v>51</v>
      </c>
    </row>
    <row r="594" spans="1:13" x14ac:dyDescent="0.35">
      <c r="A594" t="s">
        <v>734</v>
      </c>
      <c r="B594">
        <v>7200068424</v>
      </c>
      <c r="C594">
        <v>6822986567</v>
      </c>
      <c r="D594" t="s">
        <v>24</v>
      </c>
      <c r="E594" s="7">
        <v>415</v>
      </c>
      <c r="F594" s="7">
        <v>415</v>
      </c>
      <c r="G594" s="7">
        <v>0</v>
      </c>
      <c r="H594" t="s">
        <v>56</v>
      </c>
      <c r="I594" t="s">
        <v>109</v>
      </c>
      <c r="J594" t="s">
        <v>22</v>
      </c>
      <c r="K594" t="s">
        <v>16</v>
      </c>
      <c r="L594" t="s">
        <v>16</v>
      </c>
      <c r="M594" t="s">
        <v>17</v>
      </c>
    </row>
    <row r="595" spans="1:13" x14ac:dyDescent="0.35">
      <c r="A595" t="s">
        <v>735</v>
      </c>
      <c r="B595">
        <v>8200657139</v>
      </c>
      <c r="C595">
        <v>3173754229</v>
      </c>
      <c r="D595" t="s">
        <v>19</v>
      </c>
      <c r="E595" s="7">
        <v>440</v>
      </c>
      <c r="F595" s="7">
        <v>440</v>
      </c>
      <c r="G595" s="7">
        <v>0</v>
      </c>
      <c r="H595" t="s">
        <v>14</v>
      </c>
      <c r="I595" t="s">
        <v>378</v>
      </c>
      <c r="J595" t="s">
        <v>43</v>
      </c>
      <c r="K595" t="s">
        <v>0</v>
      </c>
      <c r="L595" t="s">
        <v>16</v>
      </c>
      <c r="M595" t="s">
        <v>126</v>
      </c>
    </row>
    <row r="596" spans="1:13" x14ac:dyDescent="0.35">
      <c r="A596" t="s">
        <v>736</v>
      </c>
      <c r="B596">
        <v>1870104129</v>
      </c>
      <c r="C596">
        <v>5078508507</v>
      </c>
      <c r="D596" t="s">
        <v>19</v>
      </c>
      <c r="E596" s="7">
        <v>122</v>
      </c>
      <c r="F596" s="7">
        <v>87</v>
      </c>
      <c r="G596" s="7">
        <v>35</v>
      </c>
      <c r="H596" t="s">
        <v>14</v>
      </c>
      <c r="I596" t="s">
        <v>268</v>
      </c>
      <c r="J596" t="s">
        <v>26</v>
      </c>
      <c r="K596" t="s">
        <v>27</v>
      </c>
      <c r="L596" t="s">
        <v>894</v>
      </c>
      <c r="M596" t="s">
        <v>33</v>
      </c>
    </row>
    <row r="597" spans="1:13" x14ac:dyDescent="0.35">
      <c r="A597" t="s">
        <v>737</v>
      </c>
      <c r="B597">
        <v>2506623275</v>
      </c>
      <c r="C597">
        <v>8185185880</v>
      </c>
      <c r="D597" t="s">
        <v>24</v>
      </c>
      <c r="E597" s="7">
        <v>360</v>
      </c>
      <c r="F597" s="7">
        <v>360</v>
      </c>
      <c r="G597" s="7">
        <v>0</v>
      </c>
      <c r="H597" t="s">
        <v>35</v>
      </c>
      <c r="I597" t="s">
        <v>279</v>
      </c>
      <c r="J597" t="s">
        <v>26</v>
      </c>
      <c r="K597" t="s">
        <v>27</v>
      </c>
      <c r="L597" t="s">
        <v>16</v>
      </c>
      <c r="M597" t="s">
        <v>55</v>
      </c>
    </row>
    <row r="598" spans="1:13" x14ac:dyDescent="0.35">
      <c r="A598" t="s">
        <v>738</v>
      </c>
      <c r="B598">
        <v>1765123228</v>
      </c>
      <c r="C598">
        <v>6637239293</v>
      </c>
      <c r="D598" t="s">
        <v>67</v>
      </c>
      <c r="E598" s="7">
        <v>301</v>
      </c>
      <c r="F598" s="7">
        <v>301</v>
      </c>
      <c r="G598" s="7">
        <v>0</v>
      </c>
      <c r="H598" t="s">
        <v>20</v>
      </c>
      <c r="I598" t="s">
        <v>105</v>
      </c>
      <c r="J598" t="s">
        <v>43</v>
      </c>
      <c r="K598" t="s">
        <v>16</v>
      </c>
      <c r="L598" t="s">
        <v>16</v>
      </c>
      <c r="M598" t="s">
        <v>17</v>
      </c>
    </row>
    <row r="599" spans="1:13" x14ac:dyDescent="0.35">
      <c r="A599" t="s">
        <v>739</v>
      </c>
      <c r="B599">
        <v>6008848858</v>
      </c>
      <c r="C599">
        <v>6457551131</v>
      </c>
      <c r="D599" t="s">
        <v>19</v>
      </c>
      <c r="E599" s="7">
        <v>448</v>
      </c>
      <c r="F599" s="7">
        <v>298</v>
      </c>
      <c r="G599" s="7">
        <v>150</v>
      </c>
      <c r="H599" t="s">
        <v>31</v>
      </c>
      <c r="I599" t="s">
        <v>121</v>
      </c>
      <c r="J599" t="s">
        <v>22</v>
      </c>
      <c r="K599" t="s">
        <v>0</v>
      </c>
      <c r="L599" t="s">
        <v>894</v>
      </c>
      <c r="M599" t="s">
        <v>40</v>
      </c>
    </row>
    <row r="600" spans="1:13" x14ac:dyDescent="0.35">
      <c r="A600" t="s">
        <v>740</v>
      </c>
      <c r="B600">
        <v>8410571076</v>
      </c>
      <c r="C600">
        <v>2010629410</v>
      </c>
      <c r="D600" t="s">
        <v>24</v>
      </c>
      <c r="E600" s="7">
        <v>376</v>
      </c>
      <c r="F600" s="7">
        <v>376</v>
      </c>
      <c r="G600" s="7">
        <v>0</v>
      </c>
      <c r="H600" t="s">
        <v>35</v>
      </c>
      <c r="I600" t="s">
        <v>106</v>
      </c>
      <c r="J600" t="s">
        <v>43</v>
      </c>
      <c r="K600" t="s">
        <v>27</v>
      </c>
      <c r="L600" t="s">
        <v>16</v>
      </c>
      <c r="M600" t="s">
        <v>33</v>
      </c>
    </row>
    <row r="601" spans="1:13" x14ac:dyDescent="0.35">
      <c r="A601" t="s">
        <v>741</v>
      </c>
      <c r="B601">
        <v>2009422434</v>
      </c>
      <c r="C601">
        <v>6341199257</v>
      </c>
      <c r="D601" t="s">
        <v>67</v>
      </c>
      <c r="E601" s="7">
        <v>424</v>
      </c>
      <c r="F601" s="7">
        <v>0</v>
      </c>
      <c r="G601" s="7">
        <v>424</v>
      </c>
      <c r="H601" t="s">
        <v>38</v>
      </c>
      <c r="I601" t="s">
        <v>306</v>
      </c>
      <c r="J601" t="s">
        <v>43</v>
      </c>
      <c r="K601" t="s">
        <v>0</v>
      </c>
      <c r="L601" t="s">
        <v>0</v>
      </c>
      <c r="M601" t="s">
        <v>55</v>
      </c>
    </row>
    <row r="602" spans="1:13" x14ac:dyDescent="0.35">
      <c r="A602" t="s">
        <v>742</v>
      </c>
      <c r="B602">
        <v>4295577634</v>
      </c>
      <c r="C602">
        <v>3293176644</v>
      </c>
      <c r="D602" t="s">
        <v>24</v>
      </c>
      <c r="E602" s="7">
        <v>283</v>
      </c>
      <c r="F602" s="7">
        <v>283</v>
      </c>
      <c r="G602" s="7">
        <v>0</v>
      </c>
      <c r="H602" t="s">
        <v>70</v>
      </c>
      <c r="I602" t="s">
        <v>140</v>
      </c>
      <c r="J602" t="s">
        <v>26</v>
      </c>
      <c r="K602" t="s">
        <v>16</v>
      </c>
      <c r="L602" t="s">
        <v>16</v>
      </c>
      <c r="M602" t="s">
        <v>17</v>
      </c>
    </row>
    <row r="603" spans="1:13" x14ac:dyDescent="0.35">
      <c r="A603" t="s">
        <v>743</v>
      </c>
      <c r="B603">
        <v>1148268048</v>
      </c>
      <c r="C603">
        <v>6724619623</v>
      </c>
      <c r="D603" t="s">
        <v>30</v>
      </c>
      <c r="E603" s="7">
        <v>374</v>
      </c>
      <c r="F603" s="7">
        <v>374</v>
      </c>
      <c r="G603" s="7">
        <v>0</v>
      </c>
      <c r="H603" t="s">
        <v>20</v>
      </c>
      <c r="I603" t="s">
        <v>78</v>
      </c>
      <c r="J603" t="s">
        <v>26</v>
      </c>
      <c r="K603" t="s">
        <v>16</v>
      </c>
      <c r="L603" t="s">
        <v>16</v>
      </c>
      <c r="M603" t="s">
        <v>17</v>
      </c>
    </row>
    <row r="604" spans="1:13" x14ac:dyDescent="0.35">
      <c r="A604" t="s">
        <v>744</v>
      </c>
      <c r="B604">
        <v>9357330180</v>
      </c>
      <c r="C604">
        <v>80831124</v>
      </c>
      <c r="D604" t="s">
        <v>13</v>
      </c>
      <c r="E604" s="7">
        <v>241</v>
      </c>
      <c r="F604" s="7">
        <v>241</v>
      </c>
      <c r="G604" s="7">
        <v>0</v>
      </c>
      <c r="H604" t="s">
        <v>56</v>
      </c>
      <c r="I604" t="s">
        <v>165</v>
      </c>
      <c r="J604" t="s">
        <v>43</v>
      </c>
      <c r="K604" t="s">
        <v>16</v>
      </c>
      <c r="L604" t="s">
        <v>16</v>
      </c>
      <c r="M604" t="s">
        <v>17</v>
      </c>
    </row>
    <row r="605" spans="1:13" x14ac:dyDescent="0.35">
      <c r="A605" t="s">
        <v>745</v>
      </c>
      <c r="B605">
        <v>6236795610</v>
      </c>
      <c r="C605">
        <v>9216323527</v>
      </c>
      <c r="D605" t="s">
        <v>13</v>
      </c>
      <c r="E605" s="7">
        <v>343</v>
      </c>
      <c r="F605" s="7">
        <v>343</v>
      </c>
      <c r="G605" s="7">
        <v>0</v>
      </c>
      <c r="H605" t="s">
        <v>80</v>
      </c>
      <c r="I605" t="s">
        <v>189</v>
      </c>
      <c r="J605" t="s">
        <v>26</v>
      </c>
      <c r="K605" t="s">
        <v>16</v>
      </c>
      <c r="L605" t="s">
        <v>16</v>
      </c>
      <c r="M605" t="s">
        <v>17</v>
      </c>
    </row>
    <row r="606" spans="1:13" x14ac:dyDescent="0.35">
      <c r="A606" t="s">
        <v>746</v>
      </c>
      <c r="B606">
        <v>2079553648</v>
      </c>
      <c r="C606">
        <v>412606650</v>
      </c>
      <c r="D606" t="s">
        <v>30</v>
      </c>
      <c r="E606" s="7">
        <v>255</v>
      </c>
      <c r="F606" s="7">
        <v>0</v>
      </c>
      <c r="G606" s="7">
        <v>255</v>
      </c>
      <c r="H606" t="s">
        <v>35</v>
      </c>
      <c r="I606" t="s">
        <v>72</v>
      </c>
      <c r="J606" t="s">
        <v>43</v>
      </c>
      <c r="K606" t="s">
        <v>0</v>
      </c>
      <c r="L606" t="s">
        <v>0</v>
      </c>
      <c r="M606" t="s">
        <v>28</v>
      </c>
    </row>
    <row r="607" spans="1:13" x14ac:dyDescent="0.35">
      <c r="A607" t="s">
        <v>747</v>
      </c>
      <c r="B607">
        <v>3015521505</v>
      </c>
      <c r="C607">
        <v>7948989924</v>
      </c>
      <c r="D607" t="s">
        <v>24</v>
      </c>
      <c r="E607" s="7">
        <v>389</v>
      </c>
      <c r="F607" s="7">
        <v>389</v>
      </c>
      <c r="G607" s="7">
        <v>0</v>
      </c>
      <c r="H607" t="s">
        <v>38</v>
      </c>
      <c r="I607" t="s">
        <v>76</v>
      </c>
      <c r="J607" t="s">
        <v>26</v>
      </c>
      <c r="K607" t="s">
        <v>16</v>
      </c>
      <c r="L607" t="s">
        <v>16</v>
      </c>
      <c r="M607" t="s">
        <v>17</v>
      </c>
    </row>
    <row r="608" spans="1:13" x14ac:dyDescent="0.35">
      <c r="A608" t="s">
        <v>748</v>
      </c>
      <c r="B608">
        <v>6254400846</v>
      </c>
      <c r="C608">
        <v>1746472358</v>
      </c>
      <c r="D608" t="s">
        <v>19</v>
      </c>
      <c r="E608" s="7">
        <v>487</v>
      </c>
      <c r="F608" s="7">
        <v>0</v>
      </c>
      <c r="G608" s="7">
        <v>487</v>
      </c>
      <c r="H608" t="s">
        <v>20</v>
      </c>
      <c r="I608" t="s">
        <v>354</v>
      </c>
      <c r="J608" t="s">
        <v>26</v>
      </c>
      <c r="K608" t="s">
        <v>0</v>
      </c>
      <c r="L608" t="s">
        <v>0</v>
      </c>
      <c r="M608" t="s">
        <v>40</v>
      </c>
    </row>
    <row r="609" spans="1:13" x14ac:dyDescent="0.35">
      <c r="A609" t="s">
        <v>749</v>
      </c>
      <c r="B609">
        <v>9018959331</v>
      </c>
      <c r="C609">
        <v>7861561120</v>
      </c>
      <c r="D609" t="s">
        <v>24</v>
      </c>
      <c r="E609" s="7">
        <v>224</v>
      </c>
      <c r="F609" s="7">
        <v>136</v>
      </c>
      <c r="G609" s="7">
        <v>88</v>
      </c>
      <c r="H609" t="s">
        <v>35</v>
      </c>
      <c r="I609" t="s">
        <v>121</v>
      </c>
      <c r="J609" t="s">
        <v>22</v>
      </c>
      <c r="K609" t="s">
        <v>0</v>
      </c>
      <c r="L609" t="s">
        <v>894</v>
      </c>
      <c r="M609" t="s">
        <v>40</v>
      </c>
    </row>
    <row r="610" spans="1:13" x14ac:dyDescent="0.35">
      <c r="A610" t="s">
        <v>750</v>
      </c>
      <c r="B610">
        <v>5329944100</v>
      </c>
      <c r="C610">
        <v>6137557422</v>
      </c>
      <c r="D610" t="s">
        <v>13</v>
      </c>
      <c r="E610" s="7">
        <v>249</v>
      </c>
      <c r="F610" s="7">
        <v>186</v>
      </c>
      <c r="G610" s="7">
        <v>63</v>
      </c>
      <c r="H610" t="s">
        <v>35</v>
      </c>
      <c r="I610" t="s">
        <v>220</v>
      </c>
      <c r="J610" t="s">
        <v>26</v>
      </c>
      <c r="K610" t="s">
        <v>0</v>
      </c>
      <c r="L610" t="s">
        <v>894</v>
      </c>
      <c r="M610" t="s">
        <v>28</v>
      </c>
    </row>
    <row r="611" spans="1:13" x14ac:dyDescent="0.35">
      <c r="A611" t="s">
        <v>751</v>
      </c>
      <c r="B611">
        <v>8107812120</v>
      </c>
      <c r="C611">
        <v>3001911407</v>
      </c>
      <c r="D611" t="s">
        <v>30</v>
      </c>
      <c r="E611" s="7">
        <v>130</v>
      </c>
      <c r="F611" s="7">
        <v>130</v>
      </c>
      <c r="G611" s="7">
        <v>0</v>
      </c>
      <c r="H611" t="s">
        <v>14</v>
      </c>
      <c r="I611" t="s">
        <v>177</v>
      </c>
      <c r="J611" t="s">
        <v>22</v>
      </c>
      <c r="K611" t="s">
        <v>0</v>
      </c>
      <c r="L611" t="s">
        <v>16</v>
      </c>
      <c r="M611" t="s">
        <v>33</v>
      </c>
    </row>
    <row r="612" spans="1:13" x14ac:dyDescent="0.35">
      <c r="A612" t="s">
        <v>752</v>
      </c>
      <c r="B612">
        <v>3535066461</v>
      </c>
      <c r="C612">
        <v>9846218210</v>
      </c>
      <c r="D612" t="s">
        <v>30</v>
      </c>
      <c r="E612" s="7">
        <v>387</v>
      </c>
      <c r="F612" s="7">
        <v>0</v>
      </c>
      <c r="G612" s="7">
        <v>387</v>
      </c>
      <c r="H612" t="s">
        <v>14</v>
      </c>
      <c r="I612" t="s">
        <v>46</v>
      </c>
      <c r="J612" t="s">
        <v>22</v>
      </c>
      <c r="K612" t="s">
        <v>27</v>
      </c>
      <c r="L612" t="s">
        <v>0</v>
      </c>
      <c r="M612" t="s">
        <v>40</v>
      </c>
    </row>
    <row r="613" spans="1:13" x14ac:dyDescent="0.35">
      <c r="A613" t="s">
        <v>753</v>
      </c>
      <c r="B613">
        <v>7487682932</v>
      </c>
      <c r="C613">
        <v>9586925444</v>
      </c>
      <c r="D613" t="s">
        <v>13</v>
      </c>
      <c r="E613" s="7">
        <v>254</v>
      </c>
      <c r="F613" s="7">
        <v>254</v>
      </c>
      <c r="G613" s="7">
        <v>0</v>
      </c>
      <c r="H613" t="s">
        <v>14</v>
      </c>
      <c r="I613" t="s">
        <v>36</v>
      </c>
      <c r="J613" t="s">
        <v>26</v>
      </c>
      <c r="K613" t="s">
        <v>16</v>
      </c>
      <c r="L613" t="s">
        <v>16</v>
      </c>
      <c r="M613" t="s">
        <v>17</v>
      </c>
    </row>
    <row r="614" spans="1:13" x14ac:dyDescent="0.35">
      <c r="A614" t="s">
        <v>754</v>
      </c>
      <c r="B614">
        <v>736662681</v>
      </c>
      <c r="C614">
        <v>809572228</v>
      </c>
      <c r="D614" t="s">
        <v>13</v>
      </c>
      <c r="E614" s="7">
        <v>432</v>
      </c>
      <c r="F614" s="7">
        <v>432</v>
      </c>
      <c r="G614" s="7">
        <v>0</v>
      </c>
      <c r="H614" t="s">
        <v>56</v>
      </c>
      <c r="I614" t="s">
        <v>216</v>
      </c>
      <c r="J614" t="s">
        <v>43</v>
      </c>
      <c r="K614" t="s">
        <v>16</v>
      </c>
      <c r="L614" t="s">
        <v>16</v>
      </c>
      <c r="M614" t="s">
        <v>17</v>
      </c>
    </row>
    <row r="615" spans="1:13" x14ac:dyDescent="0.35">
      <c r="A615" t="s">
        <v>755</v>
      </c>
      <c r="B615">
        <v>5812341342</v>
      </c>
      <c r="C615">
        <v>1688804423</v>
      </c>
      <c r="D615" t="s">
        <v>24</v>
      </c>
      <c r="E615" s="7">
        <v>183</v>
      </c>
      <c r="F615" s="7">
        <v>0</v>
      </c>
      <c r="G615" s="7">
        <v>183</v>
      </c>
      <c r="H615" t="s">
        <v>31</v>
      </c>
      <c r="I615" t="s">
        <v>231</v>
      </c>
      <c r="J615" t="s">
        <v>43</v>
      </c>
      <c r="K615" t="s">
        <v>0</v>
      </c>
      <c r="L615" t="s">
        <v>0</v>
      </c>
      <c r="M615" t="s">
        <v>126</v>
      </c>
    </row>
    <row r="616" spans="1:13" x14ac:dyDescent="0.35">
      <c r="A616" t="s">
        <v>756</v>
      </c>
      <c r="B616">
        <v>1018641925</v>
      </c>
      <c r="C616">
        <v>5855204902</v>
      </c>
      <c r="D616" t="s">
        <v>13</v>
      </c>
      <c r="E616" s="7">
        <v>372</v>
      </c>
      <c r="F616" s="7">
        <v>372</v>
      </c>
      <c r="G616" s="7">
        <v>0</v>
      </c>
      <c r="H616" t="s">
        <v>14</v>
      </c>
      <c r="I616" t="s">
        <v>57</v>
      </c>
      <c r="J616" t="s">
        <v>26</v>
      </c>
      <c r="K616" t="s">
        <v>16</v>
      </c>
      <c r="L616" t="s">
        <v>16</v>
      </c>
      <c r="M616" t="s">
        <v>17</v>
      </c>
    </row>
    <row r="617" spans="1:13" x14ac:dyDescent="0.35">
      <c r="A617" t="s">
        <v>757</v>
      </c>
      <c r="B617">
        <v>6996555508</v>
      </c>
      <c r="C617">
        <v>1455603496</v>
      </c>
      <c r="D617" t="s">
        <v>67</v>
      </c>
      <c r="E617" s="7">
        <v>117</v>
      </c>
      <c r="F617" s="7">
        <v>117</v>
      </c>
      <c r="G617" s="7">
        <v>0</v>
      </c>
      <c r="H617" t="s">
        <v>35</v>
      </c>
      <c r="I617" t="s">
        <v>237</v>
      </c>
      <c r="J617" t="s">
        <v>22</v>
      </c>
      <c r="K617" t="s">
        <v>27</v>
      </c>
      <c r="L617" t="s">
        <v>16</v>
      </c>
      <c r="M617" t="s">
        <v>51</v>
      </c>
    </row>
    <row r="618" spans="1:13" x14ac:dyDescent="0.35">
      <c r="A618" t="s">
        <v>758</v>
      </c>
      <c r="B618">
        <v>2776830875</v>
      </c>
      <c r="C618">
        <v>1053675238</v>
      </c>
      <c r="D618" t="s">
        <v>30</v>
      </c>
      <c r="E618" s="7">
        <v>131</v>
      </c>
      <c r="F618" s="7">
        <v>0</v>
      </c>
      <c r="G618" s="7">
        <v>131</v>
      </c>
      <c r="H618" t="s">
        <v>38</v>
      </c>
      <c r="I618" t="s">
        <v>88</v>
      </c>
      <c r="J618" t="s">
        <v>43</v>
      </c>
      <c r="K618" t="s">
        <v>27</v>
      </c>
      <c r="L618" t="s">
        <v>0</v>
      </c>
      <c r="M618" t="s">
        <v>33</v>
      </c>
    </row>
    <row r="619" spans="1:13" x14ac:dyDescent="0.35">
      <c r="A619" t="s">
        <v>759</v>
      </c>
      <c r="B619">
        <v>251596075</v>
      </c>
      <c r="C619">
        <v>4256135804</v>
      </c>
      <c r="D619" t="s">
        <v>24</v>
      </c>
      <c r="E619" s="7">
        <v>297</v>
      </c>
      <c r="F619" s="7">
        <v>297</v>
      </c>
      <c r="G619" s="7">
        <v>0</v>
      </c>
      <c r="H619" t="s">
        <v>70</v>
      </c>
      <c r="I619" t="s">
        <v>144</v>
      </c>
      <c r="J619" t="s">
        <v>26</v>
      </c>
      <c r="K619" t="s">
        <v>0</v>
      </c>
      <c r="L619" t="s">
        <v>16</v>
      </c>
      <c r="M619" t="s">
        <v>55</v>
      </c>
    </row>
    <row r="620" spans="1:13" x14ac:dyDescent="0.35">
      <c r="A620" t="s">
        <v>760</v>
      </c>
      <c r="B620">
        <v>814323323</v>
      </c>
      <c r="C620">
        <v>548964289</v>
      </c>
      <c r="D620" t="s">
        <v>19</v>
      </c>
      <c r="E620" s="7">
        <v>342</v>
      </c>
      <c r="F620" s="7">
        <v>342</v>
      </c>
      <c r="G620" s="7">
        <v>0</v>
      </c>
      <c r="H620" t="s">
        <v>53</v>
      </c>
      <c r="I620" t="s">
        <v>189</v>
      </c>
      <c r="J620" t="s">
        <v>22</v>
      </c>
      <c r="K620" t="s">
        <v>0</v>
      </c>
      <c r="L620" t="s">
        <v>16</v>
      </c>
      <c r="M620" t="s">
        <v>44</v>
      </c>
    </row>
    <row r="621" spans="1:13" x14ac:dyDescent="0.35">
      <c r="A621" t="s">
        <v>761</v>
      </c>
      <c r="B621">
        <v>2653459517</v>
      </c>
      <c r="C621">
        <v>8280092326</v>
      </c>
      <c r="D621" t="s">
        <v>13</v>
      </c>
      <c r="E621" s="7">
        <v>442</v>
      </c>
      <c r="F621" s="7">
        <v>442</v>
      </c>
      <c r="G621" s="7">
        <v>0</v>
      </c>
      <c r="H621" t="s">
        <v>99</v>
      </c>
      <c r="I621" t="s">
        <v>128</v>
      </c>
      <c r="J621" t="s">
        <v>43</v>
      </c>
      <c r="K621" t="s">
        <v>27</v>
      </c>
      <c r="L621" t="s">
        <v>16</v>
      </c>
      <c r="M621" t="s">
        <v>28</v>
      </c>
    </row>
    <row r="622" spans="1:13" x14ac:dyDescent="0.35">
      <c r="A622" t="s">
        <v>762</v>
      </c>
      <c r="B622">
        <v>7891665959</v>
      </c>
      <c r="C622">
        <v>531953356</v>
      </c>
      <c r="D622" t="s">
        <v>13</v>
      </c>
      <c r="E622" s="7">
        <v>399</v>
      </c>
      <c r="F622" s="7">
        <v>399</v>
      </c>
      <c r="G622" s="7">
        <v>0</v>
      </c>
      <c r="H622" t="s">
        <v>56</v>
      </c>
      <c r="I622" t="s">
        <v>252</v>
      </c>
      <c r="J622" t="s">
        <v>43</v>
      </c>
      <c r="K622" t="s">
        <v>16</v>
      </c>
      <c r="L622" t="s">
        <v>16</v>
      </c>
      <c r="M622" t="s">
        <v>17</v>
      </c>
    </row>
    <row r="623" spans="1:13" x14ac:dyDescent="0.35">
      <c r="A623" t="s">
        <v>763</v>
      </c>
      <c r="B623">
        <v>801815815</v>
      </c>
      <c r="C623">
        <v>1645428235</v>
      </c>
      <c r="D623" t="s">
        <v>24</v>
      </c>
      <c r="E623" s="7">
        <v>217</v>
      </c>
      <c r="F623" s="7">
        <v>217</v>
      </c>
      <c r="G623" s="7">
        <v>0</v>
      </c>
      <c r="H623" t="s">
        <v>70</v>
      </c>
      <c r="I623" t="s">
        <v>215</v>
      </c>
      <c r="J623" t="s">
        <v>22</v>
      </c>
      <c r="K623" t="s">
        <v>27</v>
      </c>
      <c r="L623" t="s">
        <v>16</v>
      </c>
      <c r="M623" t="s">
        <v>33</v>
      </c>
    </row>
    <row r="624" spans="1:13" x14ac:dyDescent="0.35">
      <c r="A624" t="s">
        <v>764</v>
      </c>
      <c r="B624">
        <v>4026823775</v>
      </c>
      <c r="C624">
        <v>4687779032</v>
      </c>
      <c r="D624" t="s">
        <v>30</v>
      </c>
      <c r="E624" s="7">
        <v>463</v>
      </c>
      <c r="F624" s="7">
        <v>0</v>
      </c>
      <c r="G624" s="7">
        <v>463</v>
      </c>
      <c r="H624" t="s">
        <v>70</v>
      </c>
      <c r="I624" t="s">
        <v>83</v>
      </c>
      <c r="J624" t="s">
        <v>22</v>
      </c>
      <c r="K624" t="s">
        <v>27</v>
      </c>
      <c r="L624" t="s">
        <v>0</v>
      </c>
      <c r="M624" t="s">
        <v>51</v>
      </c>
    </row>
    <row r="625" spans="1:13" x14ac:dyDescent="0.35">
      <c r="A625" t="s">
        <v>765</v>
      </c>
      <c r="B625">
        <v>5126935539</v>
      </c>
      <c r="C625">
        <v>6341148941</v>
      </c>
      <c r="D625" t="s">
        <v>13</v>
      </c>
      <c r="E625" s="7">
        <v>222</v>
      </c>
      <c r="F625" s="7">
        <v>0</v>
      </c>
      <c r="G625" s="7">
        <v>222</v>
      </c>
      <c r="H625" t="s">
        <v>38</v>
      </c>
      <c r="I625" t="s">
        <v>252</v>
      </c>
      <c r="J625" t="s">
        <v>22</v>
      </c>
      <c r="K625" t="s">
        <v>27</v>
      </c>
      <c r="L625" t="s">
        <v>0</v>
      </c>
      <c r="M625" t="s">
        <v>51</v>
      </c>
    </row>
    <row r="626" spans="1:13" x14ac:dyDescent="0.35">
      <c r="A626" t="s">
        <v>766</v>
      </c>
      <c r="B626">
        <v>9638695179</v>
      </c>
      <c r="C626">
        <v>6774835174</v>
      </c>
      <c r="D626" t="s">
        <v>24</v>
      </c>
      <c r="E626" s="7">
        <v>398</v>
      </c>
      <c r="F626" s="7">
        <v>398</v>
      </c>
      <c r="G626" s="7">
        <v>0</v>
      </c>
      <c r="H626" t="s">
        <v>70</v>
      </c>
      <c r="I626" t="s">
        <v>50</v>
      </c>
      <c r="J626" t="s">
        <v>22</v>
      </c>
      <c r="K626" t="s">
        <v>0</v>
      </c>
      <c r="L626" t="s">
        <v>16</v>
      </c>
      <c r="M626" t="s">
        <v>55</v>
      </c>
    </row>
    <row r="627" spans="1:13" x14ac:dyDescent="0.35">
      <c r="A627" t="s">
        <v>767</v>
      </c>
      <c r="B627">
        <v>413635615</v>
      </c>
      <c r="C627">
        <v>392140271</v>
      </c>
      <c r="D627" t="s">
        <v>19</v>
      </c>
      <c r="E627" s="7">
        <v>178</v>
      </c>
      <c r="F627" s="7">
        <v>178</v>
      </c>
      <c r="G627" s="7">
        <v>0</v>
      </c>
      <c r="H627" t="s">
        <v>38</v>
      </c>
      <c r="I627" t="s">
        <v>32</v>
      </c>
      <c r="J627" t="s">
        <v>26</v>
      </c>
      <c r="K627" t="s">
        <v>0</v>
      </c>
      <c r="L627" t="s">
        <v>16</v>
      </c>
      <c r="M627" t="s">
        <v>33</v>
      </c>
    </row>
    <row r="628" spans="1:13" x14ac:dyDescent="0.35">
      <c r="A628" t="s">
        <v>768</v>
      </c>
      <c r="B628">
        <v>9122941551</v>
      </c>
      <c r="C628">
        <v>8439672012</v>
      </c>
      <c r="D628" t="s">
        <v>24</v>
      </c>
      <c r="E628" s="7">
        <v>269</v>
      </c>
      <c r="F628" s="7">
        <v>269</v>
      </c>
      <c r="G628" s="7">
        <v>0</v>
      </c>
      <c r="H628" t="s">
        <v>14</v>
      </c>
      <c r="I628" t="s">
        <v>173</v>
      </c>
      <c r="J628" t="s">
        <v>26</v>
      </c>
      <c r="K628" t="s">
        <v>27</v>
      </c>
      <c r="L628" t="s">
        <v>16</v>
      </c>
      <c r="M628" t="s">
        <v>40</v>
      </c>
    </row>
    <row r="629" spans="1:13" x14ac:dyDescent="0.35">
      <c r="A629" t="s">
        <v>769</v>
      </c>
      <c r="B629">
        <v>7613443763</v>
      </c>
      <c r="C629">
        <v>2526154055</v>
      </c>
      <c r="D629" t="s">
        <v>30</v>
      </c>
      <c r="E629" s="7">
        <v>250</v>
      </c>
      <c r="F629" s="7">
        <v>250</v>
      </c>
      <c r="G629" s="7">
        <v>0</v>
      </c>
      <c r="H629" t="s">
        <v>99</v>
      </c>
      <c r="I629" t="s">
        <v>112</v>
      </c>
      <c r="J629" t="s">
        <v>26</v>
      </c>
      <c r="K629" t="s">
        <v>27</v>
      </c>
      <c r="L629" t="s">
        <v>16</v>
      </c>
      <c r="M629" t="s">
        <v>44</v>
      </c>
    </row>
    <row r="630" spans="1:13" x14ac:dyDescent="0.35">
      <c r="A630" t="s">
        <v>770</v>
      </c>
      <c r="B630">
        <v>3314515545</v>
      </c>
      <c r="C630">
        <v>4414052055</v>
      </c>
      <c r="D630" t="s">
        <v>19</v>
      </c>
      <c r="E630" s="7">
        <v>294</v>
      </c>
      <c r="F630" s="7">
        <v>0</v>
      </c>
      <c r="G630" s="7">
        <v>294</v>
      </c>
      <c r="H630" t="s">
        <v>53</v>
      </c>
      <c r="I630" t="s">
        <v>122</v>
      </c>
      <c r="J630" t="s">
        <v>43</v>
      </c>
      <c r="K630" t="s">
        <v>0</v>
      </c>
      <c r="L630" t="s">
        <v>0</v>
      </c>
      <c r="M630" t="s">
        <v>28</v>
      </c>
    </row>
    <row r="631" spans="1:13" x14ac:dyDescent="0.35">
      <c r="A631" t="s">
        <v>771</v>
      </c>
      <c r="B631">
        <v>2216245486</v>
      </c>
      <c r="C631">
        <v>478428518</v>
      </c>
      <c r="D631" t="s">
        <v>67</v>
      </c>
      <c r="E631" s="7">
        <v>201</v>
      </c>
      <c r="F631" s="7">
        <v>201</v>
      </c>
      <c r="G631" s="7">
        <v>0</v>
      </c>
      <c r="H631" t="s">
        <v>53</v>
      </c>
      <c r="I631" t="s">
        <v>201</v>
      </c>
      <c r="J631" t="s">
        <v>26</v>
      </c>
      <c r="K631" t="s">
        <v>16</v>
      </c>
      <c r="L631" t="s">
        <v>16</v>
      </c>
      <c r="M631" t="s">
        <v>17</v>
      </c>
    </row>
    <row r="632" spans="1:13" x14ac:dyDescent="0.35">
      <c r="A632" t="s">
        <v>772</v>
      </c>
      <c r="B632">
        <v>6366795476</v>
      </c>
      <c r="C632">
        <v>2917700385</v>
      </c>
      <c r="D632" t="s">
        <v>13</v>
      </c>
      <c r="E632" s="7">
        <v>311</v>
      </c>
      <c r="F632" s="7">
        <v>311</v>
      </c>
      <c r="G632" s="7">
        <v>0</v>
      </c>
      <c r="H632" t="s">
        <v>53</v>
      </c>
      <c r="I632" t="s">
        <v>15</v>
      </c>
      <c r="J632" t="s">
        <v>43</v>
      </c>
      <c r="K632" t="s">
        <v>27</v>
      </c>
      <c r="L632" t="s">
        <v>16</v>
      </c>
      <c r="M632" t="s">
        <v>33</v>
      </c>
    </row>
    <row r="633" spans="1:13" x14ac:dyDescent="0.35">
      <c r="A633" t="s">
        <v>773</v>
      </c>
      <c r="B633">
        <v>2727134506</v>
      </c>
      <c r="C633">
        <v>6226018283</v>
      </c>
      <c r="D633" t="s">
        <v>24</v>
      </c>
      <c r="E633" s="7">
        <v>323</v>
      </c>
      <c r="F633" s="7">
        <v>0</v>
      </c>
      <c r="G633" s="7">
        <v>323</v>
      </c>
      <c r="H633" t="s">
        <v>80</v>
      </c>
      <c r="I633" t="s">
        <v>252</v>
      </c>
      <c r="J633" t="s">
        <v>22</v>
      </c>
      <c r="K633" t="s">
        <v>27</v>
      </c>
      <c r="L633" t="s">
        <v>0</v>
      </c>
      <c r="M633" t="s">
        <v>55</v>
      </c>
    </row>
    <row r="634" spans="1:13" x14ac:dyDescent="0.35">
      <c r="A634" t="s">
        <v>774</v>
      </c>
      <c r="B634">
        <v>5145102885</v>
      </c>
      <c r="C634">
        <v>413266303</v>
      </c>
      <c r="D634" t="s">
        <v>24</v>
      </c>
      <c r="E634" s="7">
        <v>212</v>
      </c>
      <c r="F634" s="7">
        <v>122</v>
      </c>
      <c r="G634" s="7">
        <v>90</v>
      </c>
      <c r="H634" t="s">
        <v>56</v>
      </c>
      <c r="I634" t="s">
        <v>246</v>
      </c>
      <c r="J634" t="s">
        <v>43</v>
      </c>
      <c r="K634" t="s">
        <v>27</v>
      </c>
      <c r="L634" t="s">
        <v>894</v>
      </c>
      <c r="M634" t="s">
        <v>33</v>
      </c>
    </row>
    <row r="635" spans="1:13" x14ac:dyDescent="0.35">
      <c r="A635" t="s">
        <v>775</v>
      </c>
      <c r="B635">
        <v>9950651113</v>
      </c>
      <c r="C635">
        <v>7845937520</v>
      </c>
      <c r="D635" t="s">
        <v>24</v>
      </c>
      <c r="E635" s="7">
        <v>212</v>
      </c>
      <c r="F635" s="7">
        <v>212</v>
      </c>
      <c r="G635" s="7">
        <v>0</v>
      </c>
      <c r="H635" t="s">
        <v>20</v>
      </c>
      <c r="I635" t="s">
        <v>36</v>
      </c>
      <c r="J635" t="s">
        <v>43</v>
      </c>
      <c r="K635" t="s">
        <v>16</v>
      </c>
      <c r="L635" t="s">
        <v>16</v>
      </c>
      <c r="M635" t="s">
        <v>17</v>
      </c>
    </row>
    <row r="636" spans="1:13" x14ac:dyDescent="0.35">
      <c r="A636" t="s">
        <v>776</v>
      </c>
      <c r="B636">
        <v>6610129623</v>
      </c>
      <c r="C636">
        <v>3715469538</v>
      </c>
      <c r="D636" t="s">
        <v>24</v>
      </c>
      <c r="E636" s="7">
        <v>462</v>
      </c>
      <c r="F636" s="7">
        <v>462</v>
      </c>
      <c r="G636" s="7">
        <v>0</v>
      </c>
      <c r="H636" t="s">
        <v>20</v>
      </c>
      <c r="I636" t="s">
        <v>494</v>
      </c>
      <c r="J636" t="s">
        <v>22</v>
      </c>
      <c r="K636" t="s">
        <v>27</v>
      </c>
      <c r="L636" t="s">
        <v>16</v>
      </c>
      <c r="M636" t="s">
        <v>126</v>
      </c>
    </row>
    <row r="637" spans="1:13" x14ac:dyDescent="0.35">
      <c r="A637" t="s">
        <v>777</v>
      </c>
      <c r="B637">
        <v>8927277378</v>
      </c>
      <c r="C637">
        <v>3009043882</v>
      </c>
      <c r="D637" t="s">
        <v>30</v>
      </c>
      <c r="E637" s="7">
        <v>115</v>
      </c>
      <c r="F637" s="7">
        <v>0</v>
      </c>
      <c r="G637" s="7">
        <v>115</v>
      </c>
      <c r="H637" t="s">
        <v>38</v>
      </c>
      <c r="I637" t="s">
        <v>159</v>
      </c>
      <c r="J637" t="s">
        <v>22</v>
      </c>
      <c r="K637" t="s">
        <v>0</v>
      </c>
      <c r="L637" t="s">
        <v>0</v>
      </c>
      <c r="M637" t="s">
        <v>40</v>
      </c>
    </row>
    <row r="638" spans="1:13" x14ac:dyDescent="0.35">
      <c r="A638" t="s">
        <v>778</v>
      </c>
      <c r="B638">
        <v>5067774157</v>
      </c>
      <c r="C638">
        <v>9543358992</v>
      </c>
      <c r="D638" t="s">
        <v>24</v>
      </c>
      <c r="E638" s="7">
        <v>302</v>
      </c>
      <c r="F638" s="7">
        <v>302</v>
      </c>
      <c r="G638" s="7">
        <v>0</v>
      </c>
      <c r="H638" t="s">
        <v>20</v>
      </c>
      <c r="I638" t="s">
        <v>279</v>
      </c>
      <c r="J638" t="s">
        <v>22</v>
      </c>
      <c r="K638" t="s">
        <v>27</v>
      </c>
      <c r="L638" t="s">
        <v>16</v>
      </c>
      <c r="M638" t="s">
        <v>33</v>
      </c>
    </row>
    <row r="639" spans="1:13" x14ac:dyDescent="0.35">
      <c r="A639" t="s">
        <v>779</v>
      </c>
      <c r="B639">
        <v>5707574538</v>
      </c>
      <c r="C639">
        <v>3804574549</v>
      </c>
      <c r="D639" t="s">
        <v>13</v>
      </c>
      <c r="E639" s="7">
        <v>278</v>
      </c>
      <c r="F639" s="7">
        <v>278</v>
      </c>
      <c r="G639" s="7">
        <v>0</v>
      </c>
      <c r="H639" t="s">
        <v>56</v>
      </c>
      <c r="I639" t="s">
        <v>100</v>
      </c>
      <c r="J639" t="s">
        <v>22</v>
      </c>
      <c r="K639" t="s">
        <v>16</v>
      </c>
      <c r="L639" t="s">
        <v>16</v>
      </c>
      <c r="M639" t="s">
        <v>17</v>
      </c>
    </row>
    <row r="640" spans="1:13" x14ac:dyDescent="0.35">
      <c r="A640" t="s">
        <v>780</v>
      </c>
      <c r="B640">
        <v>5938896066</v>
      </c>
      <c r="C640">
        <v>3307221571</v>
      </c>
      <c r="D640" t="s">
        <v>30</v>
      </c>
      <c r="E640" s="7">
        <v>284</v>
      </c>
      <c r="F640" s="7">
        <v>196</v>
      </c>
      <c r="G640" s="7">
        <v>88</v>
      </c>
      <c r="H640" t="s">
        <v>20</v>
      </c>
      <c r="I640" t="s">
        <v>183</v>
      </c>
      <c r="J640" t="s">
        <v>43</v>
      </c>
      <c r="K640" t="s">
        <v>0</v>
      </c>
      <c r="L640" t="s">
        <v>894</v>
      </c>
      <c r="M640" t="s">
        <v>28</v>
      </c>
    </row>
    <row r="641" spans="1:13" x14ac:dyDescent="0.35">
      <c r="A641" t="s">
        <v>781</v>
      </c>
      <c r="B641">
        <v>7625993237</v>
      </c>
      <c r="C641">
        <v>2693287859</v>
      </c>
      <c r="D641" t="s">
        <v>24</v>
      </c>
      <c r="E641" s="7">
        <v>283</v>
      </c>
      <c r="F641" s="7">
        <v>283</v>
      </c>
      <c r="G641" s="7">
        <v>0</v>
      </c>
      <c r="H641" t="s">
        <v>14</v>
      </c>
      <c r="I641" t="s">
        <v>74</v>
      </c>
      <c r="J641" t="s">
        <v>26</v>
      </c>
      <c r="K641" t="s">
        <v>27</v>
      </c>
      <c r="L641" t="s">
        <v>16</v>
      </c>
      <c r="M641" t="s">
        <v>44</v>
      </c>
    </row>
    <row r="642" spans="1:13" x14ac:dyDescent="0.35">
      <c r="A642" t="s">
        <v>782</v>
      </c>
      <c r="B642">
        <v>9986426461</v>
      </c>
      <c r="C642">
        <v>8461022469</v>
      </c>
      <c r="D642" t="s">
        <v>13</v>
      </c>
      <c r="E642" s="7">
        <v>247</v>
      </c>
      <c r="F642" s="7">
        <v>0</v>
      </c>
      <c r="G642" s="7">
        <v>247</v>
      </c>
      <c r="H642" t="s">
        <v>38</v>
      </c>
      <c r="I642" t="s">
        <v>185</v>
      </c>
      <c r="J642" t="s">
        <v>22</v>
      </c>
      <c r="K642" t="s">
        <v>27</v>
      </c>
      <c r="L642" t="s">
        <v>0</v>
      </c>
      <c r="M642" t="s">
        <v>55</v>
      </c>
    </row>
    <row r="643" spans="1:13" x14ac:dyDescent="0.35">
      <c r="A643" t="s">
        <v>783</v>
      </c>
      <c r="B643">
        <v>495170155</v>
      </c>
      <c r="C643">
        <v>8697678811</v>
      </c>
      <c r="D643" t="s">
        <v>67</v>
      </c>
      <c r="E643" s="7">
        <v>346</v>
      </c>
      <c r="F643" s="7">
        <v>254</v>
      </c>
      <c r="G643" s="7">
        <v>92</v>
      </c>
      <c r="H643" t="s">
        <v>20</v>
      </c>
      <c r="I643" t="s">
        <v>117</v>
      </c>
      <c r="J643" t="s">
        <v>26</v>
      </c>
      <c r="K643" t="s">
        <v>27</v>
      </c>
      <c r="L643" t="s">
        <v>894</v>
      </c>
      <c r="M643" t="s">
        <v>33</v>
      </c>
    </row>
    <row r="644" spans="1:13" x14ac:dyDescent="0.35">
      <c r="A644" t="s">
        <v>784</v>
      </c>
      <c r="B644">
        <v>1494804036</v>
      </c>
      <c r="C644">
        <v>3580071907</v>
      </c>
      <c r="D644" t="s">
        <v>13</v>
      </c>
      <c r="E644" s="7">
        <v>244</v>
      </c>
      <c r="F644" s="7">
        <v>244</v>
      </c>
      <c r="G644" s="7">
        <v>0</v>
      </c>
      <c r="H644" t="s">
        <v>14</v>
      </c>
      <c r="I644" t="s">
        <v>239</v>
      </c>
      <c r="J644" t="s">
        <v>43</v>
      </c>
      <c r="K644" t="s">
        <v>27</v>
      </c>
      <c r="L644" t="s">
        <v>16</v>
      </c>
      <c r="M644" t="s">
        <v>44</v>
      </c>
    </row>
    <row r="645" spans="1:13" x14ac:dyDescent="0.35">
      <c r="A645" t="s">
        <v>785</v>
      </c>
      <c r="B645">
        <v>3334983044</v>
      </c>
      <c r="C645">
        <v>2635881471</v>
      </c>
      <c r="D645" t="s">
        <v>24</v>
      </c>
      <c r="E645" s="7">
        <v>286</v>
      </c>
      <c r="F645" s="7">
        <v>175</v>
      </c>
      <c r="G645" s="7">
        <v>111</v>
      </c>
      <c r="H645" t="s">
        <v>14</v>
      </c>
      <c r="I645" t="s">
        <v>199</v>
      </c>
      <c r="J645" t="s">
        <v>26</v>
      </c>
      <c r="K645" t="s">
        <v>0</v>
      </c>
      <c r="L645" t="s">
        <v>894</v>
      </c>
      <c r="M645" t="s">
        <v>51</v>
      </c>
    </row>
    <row r="646" spans="1:13" x14ac:dyDescent="0.35">
      <c r="A646" t="s">
        <v>786</v>
      </c>
      <c r="B646">
        <v>6457795017</v>
      </c>
      <c r="C646">
        <v>6675714223</v>
      </c>
      <c r="D646" t="s">
        <v>30</v>
      </c>
      <c r="E646" s="7">
        <v>392</v>
      </c>
      <c r="F646" s="7">
        <v>392</v>
      </c>
      <c r="G646" s="7">
        <v>0</v>
      </c>
      <c r="H646" t="s">
        <v>80</v>
      </c>
      <c r="I646" t="s">
        <v>137</v>
      </c>
      <c r="J646" t="s">
        <v>22</v>
      </c>
      <c r="K646" t="s">
        <v>16</v>
      </c>
      <c r="L646" t="s">
        <v>16</v>
      </c>
      <c r="M646" t="s">
        <v>17</v>
      </c>
    </row>
    <row r="647" spans="1:13" x14ac:dyDescent="0.35">
      <c r="A647" t="s">
        <v>787</v>
      </c>
      <c r="B647">
        <v>8169947502</v>
      </c>
      <c r="C647">
        <v>9546221430</v>
      </c>
      <c r="D647" t="s">
        <v>30</v>
      </c>
      <c r="E647" s="7">
        <v>487</v>
      </c>
      <c r="F647" s="7">
        <v>0</v>
      </c>
      <c r="G647" s="7">
        <v>487</v>
      </c>
      <c r="H647" t="s">
        <v>53</v>
      </c>
      <c r="I647" t="s">
        <v>165</v>
      </c>
      <c r="J647" t="s">
        <v>26</v>
      </c>
      <c r="K647" t="s">
        <v>27</v>
      </c>
      <c r="L647" t="s">
        <v>0</v>
      </c>
      <c r="M647" t="s">
        <v>40</v>
      </c>
    </row>
    <row r="648" spans="1:13" x14ac:dyDescent="0.35">
      <c r="A648" t="s">
        <v>788</v>
      </c>
      <c r="B648">
        <v>6662517566</v>
      </c>
      <c r="C648">
        <v>8725423727</v>
      </c>
      <c r="D648" t="s">
        <v>19</v>
      </c>
      <c r="E648" s="7">
        <v>387</v>
      </c>
      <c r="F648" s="7">
        <v>387</v>
      </c>
      <c r="G648" s="7">
        <v>0</v>
      </c>
      <c r="H648" t="s">
        <v>35</v>
      </c>
      <c r="I648" t="s">
        <v>85</v>
      </c>
      <c r="J648" t="s">
        <v>43</v>
      </c>
      <c r="K648" t="s">
        <v>16</v>
      </c>
      <c r="L648" t="s">
        <v>16</v>
      </c>
      <c r="M648" t="s">
        <v>17</v>
      </c>
    </row>
    <row r="649" spans="1:13" x14ac:dyDescent="0.35">
      <c r="A649" t="s">
        <v>789</v>
      </c>
      <c r="B649">
        <v>6094773848</v>
      </c>
      <c r="C649">
        <v>9748845982</v>
      </c>
      <c r="D649" t="s">
        <v>13</v>
      </c>
      <c r="E649" s="7">
        <v>359</v>
      </c>
      <c r="F649" s="7">
        <v>359</v>
      </c>
      <c r="G649" s="7">
        <v>0</v>
      </c>
      <c r="H649" t="s">
        <v>70</v>
      </c>
      <c r="I649" t="s">
        <v>478</v>
      </c>
      <c r="J649" t="s">
        <v>43</v>
      </c>
      <c r="K649" t="s">
        <v>16</v>
      </c>
      <c r="L649" t="s">
        <v>16</v>
      </c>
      <c r="M649" t="s">
        <v>17</v>
      </c>
    </row>
    <row r="650" spans="1:13" x14ac:dyDescent="0.35">
      <c r="A650" t="s">
        <v>790</v>
      </c>
      <c r="B650">
        <v>1653126830</v>
      </c>
      <c r="C650">
        <v>9620728728</v>
      </c>
      <c r="D650" t="s">
        <v>30</v>
      </c>
      <c r="E650" s="7">
        <v>284</v>
      </c>
      <c r="F650" s="7">
        <v>168</v>
      </c>
      <c r="G650" s="7">
        <v>116</v>
      </c>
      <c r="H650" t="s">
        <v>20</v>
      </c>
      <c r="I650" t="s">
        <v>256</v>
      </c>
      <c r="J650" t="s">
        <v>43</v>
      </c>
      <c r="K650" t="s">
        <v>0</v>
      </c>
      <c r="L650" t="s">
        <v>894</v>
      </c>
      <c r="M650" t="s">
        <v>28</v>
      </c>
    </row>
    <row r="651" spans="1:13" x14ac:dyDescent="0.35">
      <c r="A651" t="s">
        <v>791</v>
      </c>
      <c r="B651">
        <v>4381850776</v>
      </c>
      <c r="C651">
        <v>2435320511</v>
      </c>
      <c r="D651" t="s">
        <v>13</v>
      </c>
      <c r="E651" s="7">
        <v>113</v>
      </c>
      <c r="F651" s="7">
        <v>0</v>
      </c>
      <c r="G651" s="7">
        <v>113</v>
      </c>
      <c r="H651" t="s">
        <v>56</v>
      </c>
      <c r="I651" t="s">
        <v>48</v>
      </c>
      <c r="J651" t="s">
        <v>22</v>
      </c>
      <c r="K651" t="s">
        <v>0</v>
      </c>
      <c r="L651" t="s">
        <v>0</v>
      </c>
      <c r="M651" t="s">
        <v>28</v>
      </c>
    </row>
    <row r="652" spans="1:13" x14ac:dyDescent="0.35">
      <c r="A652" t="s">
        <v>792</v>
      </c>
      <c r="B652">
        <v>1909558771</v>
      </c>
      <c r="C652">
        <v>3504290891</v>
      </c>
      <c r="D652" t="s">
        <v>24</v>
      </c>
      <c r="E652" s="7">
        <v>334</v>
      </c>
      <c r="F652" s="7">
        <v>334</v>
      </c>
      <c r="G652" s="7">
        <v>0</v>
      </c>
      <c r="H652" t="s">
        <v>31</v>
      </c>
      <c r="I652" t="s">
        <v>279</v>
      </c>
      <c r="J652" t="s">
        <v>26</v>
      </c>
      <c r="K652" t="s">
        <v>16</v>
      </c>
      <c r="L652" t="s">
        <v>16</v>
      </c>
      <c r="M652" t="s">
        <v>17</v>
      </c>
    </row>
    <row r="653" spans="1:13" x14ac:dyDescent="0.35">
      <c r="A653" t="s">
        <v>793</v>
      </c>
      <c r="B653">
        <v>5752310883</v>
      </c>
      <c r="C653">
        <v>2570622396</v>
      </c>
      <c r="D653" t="s">
        <v>24</v>
      </c>
      <c r="E653" s="7">
        <v>161</v>
      </c>
      <c r="F653" s="7">
        <v>161</v>
      </c>
      <c r="G653" s="7">
        <v>0</v>
      </c>
      <c r="H653" t="s">
        <v>14</v>
      </c>
      <c r="I653" t="s">
        <v>465</v>
      </c>
      <c r="J653" t="s">
        <v>22</v>
      </c>
      <c r="K653" t="s">
        <v>27</v>
      </c>
      <c r="L653" t="s">
        <v>16</v>
      </c>
      <c r="M653" t="s">
        <v>33</v>
      </c>
    </row>
    <row r="654" spans="1:13" x14ac:dyDescent="0.35">
      <c r="A654" t="s">
        <v>794</v>
      </c>
      <c r="B654">
        <v>6746209655</v>
      </c>
      <c r="C654">
        <v>8891698842</v>
      </c>
      <c r="D654" t="s">
        <v>13</v>
      </c>
      <c r="E654" s="7">
        <v>285</v>
      </c>
      <c r="F654" s="7">
        <v>0</v>
      </c>
      <c r="G654" s="7">
        <v>285</v>
      </c>
      <c r="H654" t="s">
        <v>80</v>
      </c>
      <c r="I654" t="s">
        <v>268</v>
      </c>
      <c r="J654" t="s">
        <v>22</v>
      </c>
      <c r="K654" t="s">
        <v>27</v>
      </c>
      <c r="L654" t="s">
        <v>0</v>
      </c>
      <c r="M654" t="s">
        <v>33</v>
      </c>
    </row>
    <row r="655" spans="1:13" x14ac:dyDescent="0.35">
      <c r="A655" t="s">
        <v>795</v>
      </c>
      <c r="B655">
        <v>6329752044</v>
      </c>
      <c r="C655">
        <v>9602608431</v>
      </c>
      <c r="D655" t="s">
        <v>30</v>
      </c>
      <c r="E655" s="7">
        <v>167</v>
      </c>
      <c r="F655" s="7">
        <v>167</v>
      </c>
      <c r="G655" s="7">
        <v>0</v>
      </c>
      <c r="H655" t="s">
        <v>31</v>
      </c>
      <c r="I655" t="s">
        <v>237</v>
      </c>
      <c r="J655" t="s">
        <v>26</v>
      </c>
      <c r="K655" t="s">
        <v>0</v>
      </c>
      <c r="L655" t="s">
        <v>16</v>
      </c>
      <c r="M655" t="s">
        <v>126</v>
      </c>
    </row>
    <row r="656" spans="1:13" x14ac:dyDescent="0.35">
      <c r="A656" t="s">
        <v>796</v>
      </c>
      <c r="B656">
        <v>5193959660</v>
      </c>
      <c r="C656">
        <v>8963202719</v>
      </c>
      <c r="D656" t="s">
        <v>30</v>
      </c>
      <c r="E656" s="7">
        <v>336</v>
      </c>
      <c r="F656" s="7">
        <v>336</v>
      </c>
      <c r="G656" s="7">
        <v>0</v>
      </c>
      <c r="H656" t="s">
        <v>99</v>
      </c>
      <c r="I656" t="s">
        <v>191</v>
      </c>
      <c r="J656" t="s">
        <v>22</v>
      </c>
      <c r="K656" t="s">
        <v>27</v>
      </c>
      <c r="L656" t="s">
        <v>16</v>
      </c>
      <c r="M656" t="s">
        <v>33</v>
      </c>
    </row>
    <row r="657" spans="1:13" x14ac:dyDescent="0.35">
      <c r="A657" t="s">
        <v>797</v>
      </c>
      <c r="B657">
        <v>4080127787</v>
      </c>
      <c r="C657">
        <v>3750245866</v>
      </c>
      <c r="D657" t="s">
        <v>19</v>
      </c>
      <c r="E657" s="7">
        <v>326</v>
      </c>
      <c r="F657" s="7">
        <v>264</v>
      </c>
      <c r="G657" s="7">
        <v>62</v>
      </c>
      <c r="H657" t="s">
        <v>38</v>
      </c>
      <c r="I657" t="s">
        <v>465</v>
      </c>
      <c r="J657" t="s">
        <v>43</v>
      </c>
      <c r="K657" t="s">
        <v>27</v>
      </c>
      <c r="L657" t="s">
        <v>894</v>
      </c>
      <c r="M657" t="s">
        <v>40</v>
      </c>
    </row>
    <row r="658" spans="1:13" x14ac:dyDescent="0.35">
      <c r="A658" t="s">
        <v>798</v>
      </c>
      <c r="B658">
        <v>1546641534</v>
      </c>
      <c r="C658">
        <v>1931012006</v>
      </c>
      <c r="D658" t="s">
        <v>24</v>
      </c>
      <c r="E658" s="7">
        <v>286</v>
      </c>
      <c r="F658" s="7">
        <v>286</v>
      </c>
      <c r="G658" s="7">
        <v>0</v>
      </c>
      <c r="H658" t="s">
        <v>20</v>
      </c>
      <c r="I658" t="s">
        <v>39</v>
      </c>
      <c r="J658" t="s">
        <v>26</v>
      </c>
      <c r="K658" t="s">
        <v>27</v>
      </c>
      <c r="L658" t="s">
        <v>16</v>
      </c>
      <c r="M658" t="s">
        <v>33</v>
      </c>
    </row>
    <row r="659" spans="1:13" x14ac:dyDescent="0.35">
      <c r="A659" t="s">
        <v>799</v>
      </c>
      <c r="B659">
        <v>8845076373</v>
      </c>
      <c r="C659">
        <v>1671136174</v>
      </c>
      <c r="D659" t="s">
        <v>30</v>
      </c>
      <c r="E659" s="7">
        <v>445</v>
      </c>
      <c r="F659" s="7">
        <v>445</v>
      </c>
      <c r="G659" s="7">
        <v>0</v>
      </c>
      <c r="H659" t="s">
        <v>38</v>
      </c>
      <c r="I659" t="s">
        <v>180</v>
      </c>
      <c r="J659" t="s">
        <v>43</v>
      </c>
      <c r="K659" t="s">
        <v>16</v>
      </c>
      <c r="L659" t="s">
        <v>16</v>
      </c>
      <c r="M659" t="s">
        <v>17</v>
      </c>
    </row>
    <row r="660" spans="1:13" x14ac:dyDescent="0.35">
      <c r="A660" t="s">
        <v>800</v>
      </c>
      <c r="B660">
        <v>7980864512</v>
      </c>
      <c r="C660">
        <v>3721756429</v>
      </c>
      <c r="D660" t="s">
        <v>19</v>
      </c>
      <c r="E660" s="7">
        <v>184</v>
      </c>
      <c r="F660" s="7">
        <v>184</v>
      </c>
      <c r="G660" s="7">
        <v>0</v>
      </c>
      <c r="H660" t="s">
        <v>38</v>
      </c>
      <c r="I660" t="s">
        <v>101</v>
      </c>
      <c r="J660" t="s">
        <v>22</v>
      </c>
      <c r="K660" t="s">
        <v>16</v>
      </c>
      <c r="L660" t="s">
        <v>16</v>
      </c>
      <c r="M660" t="s">
        <v>17</v>
      </c>
    </row>
    <row r="661" spans="1:13" x14ac:dyDescent="0.35">
      <c r="A661" t="s">
        <v>801</v>
      </c>
      <c r="B661">
        <v>7759270927</v>
      </c>
      <c r="C661">
        <v>8611941725</v>
      </c>
      <c r="D661" t="s">
        <v>24</v>
      </c>
      <c r="E661" s="7">
        <v>388</v>
      </c>
      <c r="F661" s="7">
        <v>388</v>
      </c>
      <c r="G661" s="7">
        <v>0</v>
      </c>
      <c r="H661" t="s">
        <v>14</v>
      </c>
      <c r="I661" t="s">
        <v>259</v>
      </c>
      <c r="J661" t="s">
        <v>43</v>
      </c>
      <c r="K661" t="s">
        <v>16</v>
      </c>
      <c r="L661" t="s">
        <v>16</v>
      </c>
      <c r="M661" t="s">
        <v>17</v>
      </c>
    </row>
    <row r="662" spans="1:13" x14ac:dyDescent="0.35">
      <c r="A662" t="s">
        <v>802</v>
      </c>
      <c r="B662">
        <v>7851521611</v>
      </c>
      <c r="C662">
        <v>8366349464</v>
      </c>
      <c r="D662" t="s">
        <v>13</v>
      </c>
      <c r="E662" s="7">
        <v>476</v>
      </c>
      <c r="F662" s="7">
        <v>0</v>
      </c>
      <c r="G662" s="7">
        <v>476</v>
      </c>
      <c r="H662" t="s">
        <v>38</v>
      </c>
      <c r="I662" t="s">
        <v>88</v>
      </c>
      <c r="J662" t="s">
        <v>43</v>
      </c>
      <c r="K662" t="s">
        <v>27</v>
      </c>
      <c r="L662" t="s">
        <v>0</v>
      </c>
      <c r="M662" t="s">
        <v>126</v>
      </c>
    </row>
    <row r="663" spans="1:13" x14ac:dyDescent="0.35">
      <c r="A663" t="s">
        <v>803</v>
      </c>
      <c r="B663">
        <v>452450834</v>
      </c>
      <c r="C663">
        <v>6104869152</v>
      </c>
      <c r="D663" t="s">
        <v>24</v>
      </c>
      <c r="E663" s="7">
        <v>281</v>
      </c>
      <c r="F663" s="7">
        <v>281</v>
      </c>
      <c r="G663" s="7">
        <v>0</v>
      </c>
      <c r="H663" t="s">
        <v>14</v>
      </c>
      <c r="I663" t="s">
        <v>478</v>
      </c>
      <c r="J663" t="s">
        <v>43</v>
      </c>
      <c r="K663" t="s">
        <v>16</v>
      </c>
      <c r="L663" t="s">
        <v>16</v>
      </c>
      <c r="M663" t="s">
        <v>17</v>
      </c>
    </row>
    <row r="664" spans="1:13" x14ac:dyDescent="0.35">
      <c r="A664" t="s">
        <v>804</v>
      </c>
      <c r="B664">
        <v>4509814818</v>
      </c>
      <c r="C664">
        <v>7582121775</v>
      </c>
      <c r="D664" t="s">
        <v>13</v>
      </c>
      <c r="E664" s="7">
        <v>498</v>
      </c>
      <c r="F664" s="7">
        <v>305</v>
      </c>
      <c r="G664" s="7">
        <v>193</v>
      </c>
      <c r="H664" t="s">
        <v>20</v>
      </c>
      <c r="I664" t="s">
        <v>252</v>
      </c>
      <c r="J664" t="s">
        <v>26</v>
      </c>
      <c r="K664" t="s">
        <v>0</v>
      </c>
      <c r="L664" t="s">
        <v>894</v>
      </c>
      <c r="M664" t="s">
        <v>44</v>
      </c>
    </row>
    <row r="665" spans="1:13" x14ac:dyDescent="0.35">
      <c r="A665" t="s">
        <v>805</v>
      </c>
      <c r="B665">
        <v>6180277718</v>
      </c>
      <c r="C665">
        <v>3141924361</v>
      </c>
      <c r="D665" t="s">
        <v>19</v>
      </c>
      <c r="E665" s="7">
        <v>406</v>
      </c>
      <c r="F665" s="7">
        <v>406</v>
      </c>
      <c r="G665" s="7">
        <v>0</v>
      </c>
      <c r="H665" t="s">
        <v>70</v>
      </c>
      <c r="I665" t="s">
        <v>61</v>
      </c>
      <c r="J665" t="s">
        <v>43</v>
      </c>
      <c r="K665" t="s">
        <v>0</v>
      </c>
      <c r="L665" t="s">
        <v>16</v>
      </c>
      <c r="M665" t="s">
        <v>58</v>
      </c>
    </row>
    <row r="666" spans="1:13" x14ac:dyDescent="0.35">
      <c r="A666" t="s">
        <v>806</v>
      </c>
      <c r="B666">
        <v>8896804514</v>
      </c>
      <c r="C666">
        <v>5905265146</v>
      </c>
      <c r="D666" t="s">
        <v>30</v>
      </c>
      <c r="E666" s="7">
        <v>480</v>
      </c>
      <c r="F666" s="7">
        <v>0</v>
      </c>
      <c r="G666" s="7">
        <v>480</v>
      </c>
      <c r="H666" t="s">
        <v>35</v>
      </c>
      <c r="I666" t="s">
        <v>96</v>
      </c>
      <c r="J666" t="s">
        <v>22</v>
      </c>
      <c r="K666" t="s">
        <v>0</v>
      </c>
      <c r="L666" t="s">
        <v>0</v>
      </c>
      <c r="M666" t="s">
        <v>40</v>
      </c>
    </row>
    <row r="667" spans="1:13" x14ac:dyDescent="0.35">
      <c r="A667" t="s">
        <v>807</v>
      </c>
      <c r="B667">
        <v>8240863264</v>
      </c>
      <c r="C667">
        <v>5248542589</v>
      </c>
      <c r="D667" t="s">
        <v>24</v>
      </c>
      <c r="E667" s="7">
        <v>455</v>
      </c>
      <c r="F667" s="7">
        <v>0</v>
      </c>
      <c r="G667" s="7">
        <v>455</v>
      </c>
      <c r="H667" t="s">
        <v>56</v>
      </c>
      <c r="I667" t="s">
        <v>63</v>
      </c>
      <c r="J667" t="s">
        <v>22</v>
      </c>
      <c r="K667" t="s">
        <v>0</v>
      </c>
      <c r="L667" t="s">
        <v>0</v>
      </c>
      <c r="M667" t="s">
        <v>58</v>
      </c>
    </row>
    <row r="668" spans="1:13" x14ac:dyDescent="0.35">
      <c r="A668" t="s">
        <v>808</v>
      </c>
      <c r="B668">
        <v>1439605185</v>
      </c>
      <c r="C668">
        <v>3000311504</v>
      </c>
      <c r="D668" t="s">
        <v>67</v>
      </c>
      <c r="E668" s="7">
        <v>395</v>
      </c>
      <c r="F668" s="7">
        <v>395</v>
      </c>
      <c r="G668" s="7">
        <v>0</v>
      </c>
      <c r="H668" t="s">
        <v>31</v>
      </c>
      <c r="I668" t="s">
        <v>103</v>
      </c>
      <c r="J668" t="s">
        <v>22</v>
      </c>
      <c r="K668" t="s">
        <v>27</v>
      </c>
      <c r="L668" t="s">
        <v>16</v>
      </c>
      <c r="M668" t="s">
        <v>55</v>
      </c>
    </row>
    <row r="669" spans="1:13" x14ac:dyDescent="0.35">
      <c r="A669" t="s">
        <v>809</v>
      </c>
      <c r="B669">
        <v>8635789089</v>
      </c>
      <c r="C669">
        <v>2381722100</v>
      </c>
      <c r="D669" t="s">
        <v>19</v>
      </c>
      <c r="E669" s="7">
        <v>469</v>
      </c>
      <c r="F669" s="7">
        <v>469</v>
      </c>
      <c r="G669" s="7">
        <v>0</v>
      </c>
      <c r="H669" t="s">
        <v>35</v>
      </c>
      <c r="I669" t="s">
        <v>81</v>
      </c>
      <c r="J669" t="s">
        <v>26</v>
      </c>
      <c r="K669" t="s">
        <v>27</v>
      </c>
      <c r="L669" t="s">
        <v>16</v>
      </c>
      <c r="M669" t="s">
        <v>28</v>
      </c>
    </row>
    <row r="670" spans="1:13" x14ac:dyDescent="0.35">
      <c r="A670" t="s">
        <v>810</v>
      </c>
      <c r="B670">
        <v>6290196105</v>
      </c>
      <c r="C670">
        <v>4581621497</v>
      </c>
      <c r="D670" t="s">
        <v>30</v>
      </c>
      <c r="E670" s="7">
        <v>363</v>
      </c>
      <c r="F670" s="7">
        <v>363</v>
      </c>
      <c r="G670" s="7">
        <v>0</v>
      </c>
      <c r="H670" t="s">
        <v>99</v>
      </c>
      <c r="I670" t="s">
        <v>46</v>
      </c>
      <c r="J670" t="s">
        <v>43</v>
      </c>
      <c r="K670" t="s">
        <v>16</v>
      </c>
      <c r="L670" t="s">
        <v>16</v>
      </c>
      <c r="M670" t="s">
        <v>17</v>
      </c>
    </row>
    <row r="671" spans="1:13" x14ac:dyDescent="0.35">
      <c r="A671" t="s">
        <v>811</v>
      </c>
      <c r="B671">
        <v>5747845162</v>
      </c>
      <c r="C671">
        <v>4902229116</v>
      </c>
      <c r="D671" t="s">
        <v>13</v>
      </c>
      <c r="E671" s="7">
        <v>382</v>
      </c>
      <c r="F671" s="7">
        <v>382</v>
      </c>
      <c r="G671" s="7">
        <v>0</v>
      </c>
      <c r="H671" t="s">
        <v>31</v>
      </c>
      <c r="I671" t="s">
        <v>110</v>
      </c>
      <c r="J671" t="s">
        <v>26</v>
      </c>
      <c r="K671" t="s">
        <v>16</v>
      </c>
      <c r="L671" t="s">
        <v>16</v>
      </c>
      <c r="M671" t="s">
        <v>17</v>
      </c>
    </row>
    <row r="672" spans="1:13" x14ac:dyDescent="0.35">
      <c r="A672" t="s">
        <v>812</v>
      </c>
      <c r="B672">
        <v>9763625200</v>
      </c>
      <c r="C672">
        <v>528779782</v>
      </c>
      <c r="D672" t="s">
        <v>30</v>
      </c>
      <c r="E672" s="7">
        <v>379</v>
      </c>
      <c r="F672" s="7">
        <v>379</v>
      </c>
      <c r="G672" s="7">
        <v>0</v>
      </c>
      <c r="H672" t="s">
        <v>20</v>
      </c>
      <c r="I672" t="s">
        <v>109</v>
      </c>
      <c r="J672" t="s">
        <v>43</v>
      </c>
      <c r="K672" t="s">
        <v>16</v>
      </c>
      <c r="L672" t="s">
        <v>16</v>
      </c>
      <c r="M672" t="s">
        <v>17</v>
      </c>
    </row>
    <row r="673" spans="1:13" x14ac:dyDescent="0.35">
      <c r="A673" t="s">
        <v>813</v>
      </c>
      <c r="B673">
        <v>608795353</v>
      </c>
      <c r="C673">
        <v>5885172108</v>
      </c>
      <c r="D673" t="s">
        <v>19</v>
      </c>
      <c r="E673" s="7">
        <v>329</v>
      </c>
      <c r="F673" s="7">
        <v>0</v>
      </c>
      <c r="G673" s="7">
        <v>329</v>
      </c>
      <c r="H673" t="s">
        <v>70</v>
      </c>
      <c r="I673" t="s">
        <v>239</v>
      </c>
      <c r="J673" t="s">
        <v>22</v>
      </c>
      <c r="K673" t="s">
        <v>27</v>
      </c>
      <c r="L673" t="s">
        <v>0</v>
      </c>
      <c r="M673" t="s">
        <v>33</v>
      </c>
    </row>
    <row r="674" spans="1:13" x14ac:dyDescent="0.35">
      <c r="A674" t="s">
        <v>814</v>
      </c>
      <c r="B674">
        <v>6849984579</v>
      </c>
      <c r="C674">
        <v>1765819523</v>
      </c>
      <c r="D674" t="s">
        <v>13</v>
      </c>
      <c r="E674" s="7">
        <v>416</v>
      </c>
      <c r="F674" s="7">
        <v>281</v>
      </c>
      <c r="G674" s="7">
        <v>135</v>
      </c>
      <c r="H674" t="s">
        <v>99</v>
      </c>
      <c r="I674" t="s">
        <v>46</v>
      </c>
      <c r="J674" t="s">
        <v>22</v>
      </c>
      <c r="K674" t="s">
        <v>0</v>
      </c>
      <c r="L674" t="s">
        <v>894</v>
      </c>
      <c r="M674" t="s">
        <v>51</v>
      </c>
    </row>
    <row r="675" spans="1:13" x14ac:dyDescent="0.35">
      <c r="A675" t="s">
        <v>815</v>
      </c>
      <c r="B675">
        <v>9972934149</v>
      </c>
      <c r="C675">
        <v>8462713189</v>
      </c>
      <c r="D675" t="s">
        <v>30</v>
      </c>
      <c r="E675" s="7">
        <v>334</v>
      </c>
      <c r="F675" s="7">
        <v>334</v>
      </c>
      <c r="G675" s="7">
        <v>0</v>
      </c>
      <c r="H675" t="s">
        <v>31</v>
      </c>
      <c r="I675" t="s">
        <v>251</v>
      </c>
      <c r="J675" t="s">
        <v>26</v>
      </c>
      <c r="K675" t="s">
        <v>16</v>
      </c>
      <c r="L675" t="s">
        <v>16</v>
      </c>
      <c r="M675" t="s">
        <v>17</v>
      </c>
    </row>
    <row r="676" spans="1:13" x14ac:dyDescent="0.35">
      <c r="A676" t="s">
        <v>816</v>
      </c>
      <c r="B676">
        <v>6815322488</v>
      </c>
      <c r="C676">
        <v>7606025640</v>
      </c>
      <c r="D676" t="s">
        <v>30</v>
      </c>
      <c r="E676" s="7">
        <v>271</v>
      </c>
      <c r="F676" s="7">
        <v>0</v>
      </c>
      <c r="G676" s="7">
        <v>271</v>
      </c>
      <c r="H676" t="s">
        <v>99</v>
      </c>
      <c r="I676" t="s">
        <v>306</v>
      </c>
      <c r="J676" t="s">
        <v>26</v>
      </c>
      <c r="K676" t="s">
        <v>0</v>
      </c>
      <c r="L676" t="s">
        <v>0</v>
      </c>
      <c r="M676" t="s">
        <v>44</v>
      </c>
    </row>
    <row r="677" spans="1:13" x14ac:dyDescent="0.35">
      <c r="A677" t="s">
        <v>817</v>
      </c>
      <c r="B677">
        <v>6840073699</v>
      </c>
      <c r="C677">
        <v>1821811106</v>
      </c>
      <c r="D677" t="s">
        <v>24</v>
      </c>
      <c r="E677" s="7">
        <v>389</v>
      </c>
      <c r="F677" s="7">
        <v>389</v>
      </c>
      <c r="G677" s="7">
        <v>0</v>
      </c>
      <c r="H677" t="s">
        <v>56</v>
      </c>
      <c r="I677" t="s">
        <v>220</v>
      </c>
      <c r="J677" t="s">
        <v>22</v>
      </c>
      <c r="K677" t="s">
        <v>16</v>
      </c>
      <c r="L677" t="s">
        <v>16</v>
      </c>
      <c r="M677" t="s">
        <v>17</v>
      </c>
    </row>
    <row r="678" spans="1:13" x14ac:dyDescent="0.35">
      <c r="A678" t="s">
        <v>818</v>
      </c>
      <c r="B678">
        <v>4619260684</v>
      </c>
      <c r="C678">
        <v>4792942047</v>
      </c>
      <c r="D678" t="s">
        <v>67</v>
      </c>
      <c r="E678" s="7">
        <v>441</v>
      </c>
      <c r="F678" s="7">
        <v>261</v>
      </c>
      <c r="G678" s="7">
        <v>180</v>
      </c>
      <c r="H678" t="s">
        <v>56</v>
      </c>
      <c r="I678" t="s">
        <v>112</v>
      </c>
      <c r="J678" t="s">
        <v>43</v>
      </c>
      <c r="K678" t="s">
        <v>0</v>
      </c>
      <c r="L678" t="s">
        <v>894</v>
      </c>
      <c r="M678" t="s">
        <v>55</v>
      </c>
    </row>
    <row r="679" spans="1:13" x14ac:dyDescent="0.35">
      <c r="A679" t="s">
        <v>819</v>
      </c>
      <c r="B679">
        <v>5109370902</v>
      </c>
      <c r="C679">
        <v>6408465352</v>
      </c>
      <c r="D679" t="s">
        <v>13</v>
      </c>
      <c r="E679" s="7">
        <v>207</v>
      </c>
      <c r="F679" s="7">
        <v>141</v>
      </c>
      <c r="G679" s="7">
        <v>66</v>
      </c>
      <c r="H679" t="s">
        <v>56</v>
      </c>
      <c r="I679" t="s">
        <v>114</v>
      </c>
      <c r="J679" t="s">
        <v>26</v>
      </c>
      <c r="K679" t="s">
        <v>27</v>
      </c>
      <c r="L679" t="s">
        <v>894</v>
      </c>
      <c r="M679" t="s">
        <v>58</v>
      </c>
    </row>
    <row r="680" spans="1:13" x14ac:dyDescent="0.35">
      <c r="A680" t="s">
        <v>820</v>
      </c>
      <c r="B680">
        <v>7299770105</v>
      </c>
      <c r="C680">
        <v>1515990361</v>
      </c>
      <c r="D680" t="s">
        <v>13</v>
      </c>
      <c r="E680" s="7">
        <v>377</v>
      </c>
      <c r="F680" s="7">
        <v>0</v>
      </c>
      <c r="G680" s="7">
        <v>377</v>
      </c>
      <c r="H680" t="s">
        <v>38</v>
      </c>
      <c r="I680" t="s">
        <v>155</v>
      </c>
      <c r="J680" t="s">
        <v>26</v>
      </c>
      <c r="K680" t="s">
        <v>27</v>
      </c>
      <c r="L680" t="s">
        <v>0</v>
      </c>
      <c r="M680" t="s">
        <v>55</v>
      </c>
    </row>
    <row r="681" spans="1:13" x14ac:dyDescent="0.35">
      <c r="A681" t="s">
        <v>821</v>
      </c>
      <c r="B681">
        <v>7735616890</v>
      </c>
      <c r="C681">
        <v>593571600</v>
      </c>
      <c r="D681" t="s">
        <v>13</v>
      </c>
      <c r="E681" s="7">
        <v>131</v>
      </c>
      <c r="F681" s="7">
        <v>0</v>
      </c>
      <c r="G681" s="7">
        <v>131</v>
      </c>
      <c r="H681" t="s">
        <v>14</v>
      </c>
      <c r="I681" t="s">
        <v>185</v>
      </c>
      <c r="J681" t="s">
        <v>26</v>
      </c>
      <c r="K681" t="s">
        <v>0</v>
      </c>
      <c r="L681" t="s">
        <v>0</v>
      </c>
      <c r="M681" t="s">
        <v>28</v>
      </c>
    </row>
    <row r="682" spans="1:13" x14ac:dyDescent="0.35">
      <c r="A682" t="s">
        <v>822</v>
      </c>
      <c r="B682">
        <v>4857852547</v>
      </c>
      <c r="C682">
        <v>4151838566</v>
      </c>
      <c r="D682" t="s">
        <v>24</v>
      </c>
      <c r="E682" s="7">
        <v>220</v>
      </c>
      <c r="F682" s="7">
        <v>139</v>
      </c>
      <c r="G682" s="7">
        <v>81</v>
      </c>
      <c r="H682" t="s">
        <v>56</v>
      </c>
      <c r="I682" t="s">
        <v>114</v>
      </c>
      <c r="J682" t="s">
        <v>22</v>
      </c>
      <c r="K682" t="s">
        <v>0</v>
      </c>
      <c r="L682" t="s">
        <v>894</v>
      </c>
      <c r="M682" t="s">
        <v>51</v>
      </c>
    </row>
    <row r="683" spans="1:13" x14ac:dyDescent="0.35">
      <c r="A683" t="s">
        <v>823</v>
      </c>
      <c r="B683">
        <v>1658141735</v>
      </c>
      <c r="C683">
        <v>3762580864</v>
      </c>
      <c r="D683" t="s">
        <v>19</v>
      </c>
      <c r="E683" s="7">
        <v>149</v>
      </c>
      <c r="F683" s="7">
        <v>149</v>
      </c>
      <c r="G683" s="7">
        <v>0</v>
      </c>
      <c r="H683" t="s">
        <v>70</v>
      </c>
      <c r="I683" t="s">
        <v>90</v>
      </c>
      <c r="J683" t="s">
        <v>26</v>
      </c>
      <c r="K683" t="s">
        <v>16</v>
      </c>
      <c r="L683" t="s">
        <v>16</v>
      </c>
      <c r="M683" t="s">
        <v>17</v>
      </c>
    </row>
    <row r="684" spans="1:13" x14ac:dyDescent="0.35">
      <c r="A684" t="s">
        <v>824</v>
      </c>
      <c r="B684">
        <v>574419588</v>
      </c>
      <c r="C684">
        <v>8681656419</v>
      </c>
      <c r="D684" t="s">
        <v>19</v>
      </c>
      <c r="E684" s="7">
        <v>484</v>
      </c>
      <c r="F684" s="7">
        <v>0</v>
      </c>
      <c r="G684" s="7">
        <v>484</v>
      </c>
      <c r="H684" t="s">
        <v>14</v>
      </c>
      <c r="I684" t="s">
        <v>132</v>
      </c>
      <c r="J684" t="s">
        <v>22</v>
      </c>
      <c r="K684" t="s">
        <v>0</v>
      </c>
      <c r="L684" t="s">
        <v>0</v>
      </c>
      <c r="M684" t="s">
        <v>28</v>
      </c>
    </row>
    <row r="685" spans="1:13" x14ac:dyDescent="0.35">
      <c r="A685" t="s">
        <v>825</v>
      </c>
      <c r="B685">
        <v>7684326274</v>
      </c>
      <c r="C685">
        <v>2091307587</v>
      </c>
      <c r="D685" t="s">
        <v>30</v>
      </c>
      <c r="E685" s="7">
        <v>267</v>
      </c>
      <c r="F685" s="7">
        <v>165</v>
      </c>
      <c r="G685" s="7">
        <v>102</v>
      </c>
      <c r="H685" t="s">
        <v>31</v>
      </c>
      <c r="I685" t="s">
        <v>114</v>
      </c>
      <c r="J685" t="s">
        <v>43</v>
      </c>
      <c r="K685" t="s">
        <v>27</v>
      </c>
      <c r="L685" t="s">
        <v>894</v>
      </c>
      <c r="M685" t="s">
        <v>28</v>
      </c>
    </row>
    <row r="686" spans="1:13" x14ac:dyDescent="0.35">
      <c r="A686" t="s">
        <v>826</v>
      </c>
      <c r="B686">
        <v>1103203078</v>
      </c>
      <c r="C686">
        <v>5742108610</v>
      </c>
      <c r="D686" t="s">
        <v>19</v>
      </c>
      <c r="E686" s="7">
        <v>422</v>
      </c>
      <c r="F686" s="7">
        <v>422</v>
      </c>
      <c r="G686" s="7">
        <v>0</v>
      </c>
      <c r="H686" t="s">
        <v>14</v>
      </c>
      <c r="I686" t="s">
        <v>96</v>
      </c>
      <c r="J686" t="s">
        <v>26</v>
      </c>
      <c r="K686" t="s">
        <v>16</v>
      </c>
      <c r="L686" t="s">
        <v>16</v>
      </c>
      <c r="M686" t="s">
        <v>17</v>
      </c>
    </row>
    <row r="687" spans="1:13" x14ac:dyDescent="0.35">
      <c r="A687" t="s">
        <v>827</v>
      </c>
      <c r="B687">
        <v>9401153941</v>
      </c>
      <c r="C687">
        <v>1845151929</v>
      </c>
      <c r="D687" t="s">
        <v>24</v>
      </c>
      <c r="E687" s="7">
        <v>465</v>
      </c>
      <c r="F687" s="7">
        <v>263</v>
      </c>
      <c r="G687" s="7">
        <v>202</v>
      </c>
      <c r="H687" t="s">
        <v>56</v>
      </c>
      <c r="I687" t="s">
        <v>281</v>
      </c>
      <c r="J687" t="s">
        <v>43</v>
      </c>
      <c r="K687" t="s">
        <v>27</v>
      </c>
      <c r="L687" t="s">
        <v>894</v>
      </c>
      <c r="M687" t="s">
        <v>28</v>
      </c>
    </row>
    <row r="688" spans="1:13" x14ac:dyDescent="0.35">
      <c r="A688" t="s">
        <v>828</v>
      </c>
      <c r="B688">
        <v>9576814773</v>
      </c>
      <c r="C688">
        <v>1371955993</v>
      </c>
      <c r="D688" t="s">
        <v>30</v>
      </c>
      <c r="E688" s="7">
        <v>203</v>
      </c>
      <c r="F688" s="7">
        <v>203</v>
      </c>
      <c r="G688" s="7">
        <v>0</v>
      </c>
      <c r="H688" t="s">
        <v>38</v>
      </c>
      <c r="I688" t="s">
        <v>117</v>
      </c>
      <c r="J688" t="s">
        <v>43</v>
      </c>
      <c r="K688" t="s">
        <v>27</v>
      </c>
      <c r="L688" t="s">
        <v>16</v>
      </c>
      <c r="M688" t="s">
        <v>55</v>
      </c>
    </row>
    <row r="689" spans="1:13" x14ac:dyDescent="0.35">
      <c r="A689" t="s">
        <v>829</v>
      </c>
      <c r="B689">
        <v>547646649</v>
      </c>
      <c r="C689">
        <v>297896800</v>
      </c>
      <c r="D689" t="s">
        <v>24</v>
      </c>
      <c r="E689" s="7">
        <v>249</v>
      </c>
      <c r="F689" s="7">
        <v>249</v>
      </c>
      <c r="G689" s="7">
        <v>0</v>
      </c>
      <c r="H689" t="s">
        <v>56</v>
      </c>
      <c r="I689" t="s">
        <v>314</v>
      </c>
      <c r="J689" t="s">
        <v>22</v>
      </c>
      <c r="K689" t="s">
        <v>0</v>
      </c>
      <c r="L689" t="s">
        <v>16</v>
      </c>
      <c r="M689" t="s">
        <v>40</v>
      </c>
    </row>
    <row r="690" spans="1:13" x14ac:dyDescent="0.35">
      <c r="A690" t="s">
        <v>830</v>
      </c>
      <c r="B690">
        <v>6244693820</v>
      </c>
      <c r="C690">
        <v>7997381350</v>
      </c>
      <c r="D690" t="s">
        <v>67</v>
      </c>
      <c r="E690" s="7">
        <v>302</v>
      </c>
      <c r="F690" s="7">
        <v>302</v>
      </c>
      <c r="G690" s="7">
        <v>0</v>
      </c>
      <c r="H690" t="s">
        <v>14</v>
      </c>
      <c r="I690" t="s">
        <v>61</v>
      </c>
      <c r="J690" t="s">
        <v>26</v>
      </c>
      <c r="K690" t="s">
        <v>16</v>
      </c>
      <c r="L690" t="s">
        <v>16</v>
      </c>
      <c r="M690" t="s">
        <v>17</v>
      </c>
    </row>
    <row r="691" spans="1:13" x14ac:dyDescent="0.35">
      <c r="A691" t="s">
        <v>831</v>
      </c>
      <c r="B691">
        <v>6636473801</v>
      </c>
      <c r="C691">
        <v>6871324728</v>
      </c>
      <c r="D691" t="s">
        <v>30</v>
      </c>
      <c r="E691" s="7">
        <v>252</v>
      </c>
      <c r="F691" s="7">
        <v>252</v>
      </c>
      <c r="G691" s="7">
        <v>0</v>
      </c>
      <c r="H691" t="s">
        <v>20</v>
      </c>
      <c r="I691" t="s">
        <v>165</v>
      </c>
      <c r="J691" t="s">
        <v>26</v>
      </c>
      <c r="K691" t="s">
        <v>16</v>
      </c>
      <c r="L691" t="s">
        <v>16</v>
      </c>
      <c r="M691" t="s">
        <v>17</v>
      </c>
    </row>
    <row r="692" spans="1:13" x14ac:dyDescent="0.35">
      <c r="A692" t="s">
        <v>832</v>
      </c>
      <c r="B692">
        <v>7487997281</v>
      </c>
      <c r="C692">
        <v>8073709437</v>
      </c>
      <c r="D692" t="s">
        <v>19</v>
      </c>
      <c r="E692" s="7">
        <v>266</v>
      </c>
      <c r="F692" s="7">
        <v>266</v>
      </c>
      <c r="G692" s="7">
        <v>0</v>
      </c>
      <c r="H692" t="s">
        <v>38</v>
      </c>
      <c r="I692" t="s">
        <v>165</v>
      </c>
      <c r="J692" t="s">
        <v>26</v>
      </c>
      <c r="K692" t="s">
        <v>16</v>
      </c>
      <c r="L692" t="s">
        <v>16</v>
      </c>
      <c r="M692" t="s">
        <v>17</v>
      </c>
    </row>
    <row r="693" spans="1:13" x14ac:dyDescent="0.35">
      <c r="A693" t="s">
        <v>833</v>
      </c>
      <c r="B693">
        <v>2381103413</v>
      </c>
      <c r="C693">
        <v>5138512254</v>
      </c>
      <c r="D693" t="s">
        <v>67</v>
      </c>
      <c r="E693" s="7">
        <v>302</v>
      </c>
      <c r="F693" s="7">
        <v>302</v>
      </c>
      <c r="G693" s="7">
        <v>0</v>
      </c>
      <c r="H693" t="s">
        <v>38</v>
      </c>
      <c r="I693" t="s">
        <v>86</v>
      </c>
      <c r="J693" t="s">
        <v>26</v>
      </c>
      <c r="K693" t="s">
        <v>16</v>
      </c>
      <c r="L693" t="s">
        <v>16</v>
      </c>
      <c r="M693" t="s">
        <v>17</v>
      </c>
    </row>
    <row r="694" spans="1:13" x14ac:dyDescent="0.35">
      <c r="A694" t="s">
        <v>834</v>
      </c>
      <c r="B694">
        <v>2739607699</v>
      </c>
      <c r="C694">
        <v>865083685</v>
      </c>
      <c r="D694" t="s">
        <v>13</v>
      </c>
      <c r="E694" s="7">
        <v>279</v>
      </c>
      <c r="F694" s="7">
        <v>279</v>
      </c>
      <c r="G694" s="7">
        <v>0</v>
      </c>
      <c r="H694" t="s">
        <v>53</v>
      </c>
      <c r="I694" t="s">
        <v>268</v>
      </c>
      <c r="J694" t="s">
        <v>22</v>
      </c>
      <c r="K694" t="s">
        <v>16</v>
      </c>
      <c r="L694" t="s">
        <v>16</v>
      </c>
      <c r="M694" t="s">
        <v>17</v>
      </c>
    </row>
    <row r="695" spans="1:13" x14ac:dyDescent="0.35">
      <c r="A695" t="s">
        <v>835</v>
      </c>
      <c r="B695">
        <v>6930963861</v>
      </c>
      <c r="C695">
        <v>1586436225</v>
      </c>
      <c r="D695" t="s">
        <v>30</v>
      </c>
      <c r="E695" s="7">
        <v>285</v>
      </c>
      <c r="F695" s="7">
        <v>285</v>
      </c>
      <c r="G695" s="7">
        <v>0</v>
      </c>
      <c r="H695" t="s">
        <v>31</v>
      </c>
      <c r="I695" t="s">
        <v>268</v>
      </c>
      <c r="J695" t="s">
        <v>22</v>
      </c>
      <c r="K695" t="s">
        <v>16</v>
      </c>
      <c r="L695" t="s">
        <v>16</v>
      </c>
      <c r="M695" t="s">
        <v>17</v>
      </c>
    </row>
    <row r="696" spans="1:13" x14ac:dyDescent="0.35">
      <c r="A696" t="s">
        <v>836</v>
      </c>
      <c r="B696">
        <v>8071174979</v>
      </c>
      <c r="C696">
        <v>8913065384</v>
      </c>
      <c r="D696" t="s">
        <v>13</v>
      </c>
      <c r="E696" s="7">
        <v>494</v>
      </c>
      <c r="F696" s="7">
        <v>329</v>
      </c>
      <c r="G696" s="7">
        <v>165</v>
      </c>
      <c r="H696" t="s">
        <v>99</v>
      </c>
      <c r="I696" t="s">
        <v>303</v>
      </c>
      <c r="J696" t="s">
        <v>26</v>
      </c>
      <c r="K696" t="s">
        <v>27</v>
      </c>
      <c r="L696" t="s">
        <v>894</v>
      </c>
      <c r="M696" t="s">
        <v>33</v>
      </c>
    </row>
    <row r="697" spans="1:13" x14ac:dyDescent="0.35">
      <c r="A697" t="s">
        <v>837</v>
      </c>
      <c r="B697">
        <v>850408535</v>
      </c>
      <c r="C697">
        <v>352442234</v>
      </c>
      <c r="D697" t="s">
        <v>19</v>
      </c>
      <c r="E697" s="7">
        <v>340</v>
      </c>
      <c r="F697" s="7">
        <v>252</v>
      </c>
      <c r="G697" s="7">
        <v>88</v>
      </c>
      <c r="H697" t="s">
        <v>35</v>
      </c>
      <c r="I697" t="s">
        <v>155</v>
      </c>
      <c r="J697" t="s">
        <v>22</v>
      </c>
      <c r="K697" t="s">
        <v>27</v>
      </c>
      <c r="L697" t="s">
        <v>894</v>
      </c>
      <c r="M697" t="s">
        <v>33</v>
      </c>
    </row>
    <row r="698" spans="1:13" x14ac:dyDescent="0.35">
      <c r="A698" t="s">
        <v>838</v>
      </c>
      <c r="B698">
        <v>101078306</v>
      </c>
      <c r="C698">
        <v>1010446257</v>
      </c>
      <c r="D698" t="s">
        <v>67</v>
      </c>
      <c r="E698" s="7">
        <v>319</v>
      </c>
      <c r="F698" s="7">
        <v>319</v>
      </c>
      <c r="G698" s="7">
        <v>0</v>
      </c>
      <c r="H698" t="s">
        <v>80</v>
      </c>
      <c r="I698" t="s">
        <v>235</v>
      </c>
      <c r="J698" t="s">
        <v>43</v>
      </c>
      <c r="K698" t="s">
        <v>16</v>
      </c>
      <c r="L698" t="s">
        <v>16</v>
      </c>
      <c r="M698" t="s">
        <v>17</v>
      </c>
    </row>
    <row r="699" spans="1:13" x14ac:dyDescent="0.35">
      <c r="A699" t="s">
        <v>839</v>
      </c>
      <c r="B699">
        <v>9449672524</v>
      </c>
      <c r="C699">
        <v>2748517591</v>
      </c>
      <c r="D699" t="s">
        <v>13</v>
      </c>
      <c r="E699" s="7">
        <v>342</v>
      </c>
      <c r="F699" s="7">
        <v>342</v>
      </c>
      <c r="G699" s="7">
        <v>0</v>
      </c>
      <c r="H699" t="s">
        <v>70</v>
      </c>
      <c r="I699" t="s">
        <v>465</v>
      </c>
      <c r="J699" t="s">
        <v>22</v>
      </c>
      <c r="K699" t="s">
        <v>16</v>
      </c>
      <c r="L699" t="s">
        <v>16</v>
      </c>
      <c r="M699" t="s">
        <v>17</v>
      </c>
    </row>
    <row r="700" spans="1:13" x14ac:dyDescent="0.35">
      <c r="A700" t="s">
        <v>840</v>
      </c>
      <c r="B700">
        <v>777717051</v>
      </c>
      <c r="C700">
        <v>5639950479</v>
      </c>
      <c r="D700" t="s">
        <v>30</v>
      </c>
      <c r="E700" s="7">
        <v>190</v>
      </c>
      <c r="F700" s="7">
        <v>118</v>
      </c>
      <c r="G700" s="7">
        <v>72</v>
      </c>
      <c r="H700" t="s">
        <v>80</v>
      </c>
      <c r="I700" t="s">
        <v>90</v>
      </c>
      <c r="J700" t="s">
        <v>43</v>
      </c>
      <c r="K700" t="s">
        <v>27</v>
      </c>
      <c r="L700" t="s">
        <v>894</v>
      </c>
      <c r="M700" t="s">
        <v>33</v>
      </c>
    </row>
    <row r="701" spans="1:13" x14ac:dyDescent="0.35">
      <c r="A701" t="s">
        <v>841</v>
      </c>
      <c r="B701">
        <v>2299991605</v>
      </c>
      <c r="C701">
        <v>4493236409</v>
      </c>
      <c r="D701" t="s">
        <v>24</v>
      </c>
      <c r="E701" s="7">
        <v>263</v>
      </c>
      <c r="F701" s="7">
        <v>263</v>
      </c>
      <c r="G701" s="7">
        <v>0</v>
      </c>
      <c r="H701" t="s">
        <v>38</v>
      </c>
      <c r="I701" t="s">
        <v>109</v>
      </c>
      <c r="J701" t="s">
        <v>43</v>
      </c>
      <c r="K701" t="s">
        <v>16</v>
      </c>
      <c r="L701" t="s">
        <v>16</v>
      </c>
      <c r="M701" t="s">
        <v>17</v>
      </c>
    </row>
    <row r="702" spans="1:13" x14ac:dyDescent="0.35">
      <c r="A702" t="s">
        <v>842</v>
      </c>
      <c r="B702">
        <v>7451213698</v>
      </c>
      <c r="C702">
        <v>51107760</v>
      </c>
      <c r="D702" t="s">
        <v>19</v>
      </c>
      <c r="E702" s="7">
        <v>226</v>
      </c>
      <c r="F702" s="7">
        <v>226</v>
      </c>
      <c r="G702" s="7">
        <v>0</v>
      </c>
      <c r="H702" t="s">
        <v>38</v>
      </c>
      <c r="I702" t="s">
        <v>121</v>
      </c>
      <c r="J702" t="s">
        <v>43</v>
      </c>
      <c r="K702" t="s">
        <v>16</v>
      </c>
      <c r="L702" t="s">
        <v>16</v>
      </c>
      <c r="M702" t="s">
        <v>17</v>
      </c>
    </row>
    <row r="703" spans="1:13" x14ac:dyDescent="0.35">
      <c r="A703" t="s">
        <v>843</v>
      </c>
      <c r="B703">
        <v>6674084062</v>
      </c>
      <c r="C703">
        <v>5582873125</v>
      </c>
      <c r="D703" t="s">
        <v>19</v>
      </c>
      <c r="E703" s="7">
        <v>110</v>
      </c>
      <c r="F703" s="7">
        <v>60</v>
      </c>
      <c r="G703" s="7">
        <v>50</v>
      </c>
      <c r="H703" t="s">
        <v>99</v>
      </c>
      <c r="I703" t="s">
        <v>191</v>
      </c>
      <c r="J703" t="s">
        <v>22</v>
      </c>
      <c r="K703" t="s">
        <v>27</v>
      </c>
      <c r="L703" t="s">
        <v>894</v>
      </c>
      <c r="M703" t="s">
        <v>40</v>
      </c>
    </row>
    <row r="704" spans="1:13" x14ac:dyDescent="0.35">
      <c r="A704" t="s">
        <v>844</v>
      </c>
      <c r="B704">
        <v>8953574021</v>
      </c>
      <c r="C704">
        <v>3217496209</v>
      </c>
      <c r="D704" t="s">
        <v>13</v>
      </c>
      <c r="E704" s="7">
        <v>389</v>
      </c>
      <c r="F704" s="7">
        <v>0</v>
      </c>
      <c r="G704" s="7">
        <v>389</v>
      </c>
      <c r="H704" t="s">
        <v>53</v>
      </c>
      <c r="I704" t="s">
        <v>39</v>
      </c>
      <c r="J704" t="s">
        <v>43</v>
      </c>
      <c r="K704" t="s">
        <v>0</v>
      </c>
      <c r="L704" t="s">
        <v>0</v>
      </c>
      <c r="M704" t="s">
        <v>40</v>
      </c>
    </row>
    <row r="705" spans="1:13" x14ac:dyDescent="0.35">
      <c r="A705" t="s">
        <v>845</v>
      </c>
      <c r="B705">
        <v>5293925593</v>
      </c>
      <c r="C705">
        <v>8115607354</v>
      </c>
      <c r="D705" t="s">
        <v>24</v>
      </c>
      <c r="E705" s="7">
        <v>316</v>
      </c>
      <c r="F705" s="7">
        <v>220</v>
      </c>
      <c r="G705" s="7">
        <v>96</v>
      </c>
      <c r="H705" t="s">
        <v>99</v>
      </c>
      <c r="I705" t="s">
        <v>90</v>
      </c>
      <c r="J705" t="s">
        <v>43</v>
      </c>
      <c r="K705" t="s">
        <v>0</v>
      </c>
      <c r="L705" t="s">
        <v>894</v>
      </c>
      <c r="M705" t="s">
        <v>58</v>
      </c>
    </row>
    <row r="706" spans="1:13" x14ac:dyDescent="0.35">
      <c r="A706" t="s">
        <v>846</v>
      </c>
      <c r="B706">
        <v>5637478076</v>
      </c>
      <c r="C706">
        <v>9896596876</v>
      </c>
      <c r="D706" t="s">
        <v>13</v>
      </c>
      <c r="E706" s="7">
        <v>470</v>
      </c>
      <c r="F706" s="7">
        <v>292</v>
      </c>
      <c r="G706" s="7">
        <v>178</v>
      </c>
      <c r="H706" t="s">
        <v>99</v>
      </c>
      <c r="I706" t="s">
        <v>254</v>
      </c>
      <c r="J706" t="s">
        <v>22</v>
      </c>
      <c r="K706" t="s">
        <v>0</v>
      </c>
      <c r="L706" t="s">
        <v>894</v>
      </c>
      <c r="M706" t="s">
        <v>58</v>
      </c>
    </row>
    <row r="707" spans="1:13" x14ac:dyDescent="0.35">
      <c r="A707" t="s">
        <v>847</v>
      </c>
      <c r="B707">
        <v>100875317</v>
      </c>
      <c r="C707">
        <v>2801508444</v>
      </c>
      <c r="D707" t="s">
        <v>24</v>
      </c>
      <c r="E707" s="7">
        <v>457</v>
      </c>
      <c r="F707" s="7">
        <v>457</v>
      </c>
      <c r="G707" s="7">
        <v>0</v>
      </c>
      <c r="H707" t="s">
        <v>99</v>
      </c>
      <c r="I707" t="s">
        <v>252</v>
      </c>
      <c r="J707" t="s">
        <v>43</v>
      </c>
      <c r="K707" t="s">
        <v>16</v>
      </c>
      <c r="L707" t="s">
        <v>16</v>
      </c>
      <c r="M707" t="s">
        <v>17</v>
      </c>
    </row>
    <row r="708" spans="1:13" x14ac:dyDescent="0.35">
      <c r="A708" t="s">
        <v>848</v>
      </c>
      <c r="B708">
        <v>2593506947</v>
      </c>
      <c r="C708">
        <v>9604894690</v>
      </c>
      <c r="D708" t="s">
        <v>19</v>
      </c>
      <c r="E708" s="7">
        <v>405</v>
      </c>
      <c r="F708" s="7">
        <v>244</v>
      </c>
      <c r="G708" s="7">
        <v>161</v>
      </c>
      <c r="H708" t="s">
        <v>80</v>
      </c>
      <c r="I708" t="s">
        <v>15</v>
      </c>
      <c r="J708" t="s">
        <v>22</v>
      </c>
      <c r="K708" t="s">
        <v>0</v>
      </c>
      <c r="L708" t="s">
        <v>894</v>
      </c>
      <c r="M708" t="s">
        <v>33</v>
      </c>
    </row>
    <row r="709" spans="1:13" x14ac:dyDescent="0.35">
      <c r="A709" t="s">
        <v>849</v>
      </c>
      <c r="B709">
        <v>5237318591</v>
      </c>
      <c r="C709">
        <v>7845126855</v>
      </c>
      <c r="D709" t="s">
        <v>30</v>
      </c>
      <c r="E709" s="7">
        <v>113</v>
      </c>
      <c r="F709" s="7">
        <v>113</v>
      </c>
      <c r="G709" s="7">
        <v>0</v>
      </c>
      <c r="H709" t="s">
        <v>80</v>
      </c>
      <c r="I709" t="s">
        <v>216</v>
      </c>
      <c r="J709" t="s">
        <v>43</v>
      </c>
      <c r="K709" t="s">
        <v>16</v>
      </c>
      <c r="L709" t="s">
        <v>16</v>
      </c>
      <c r="M709" t="s">
        <v>17</v>
      </c>
    </row>
    <row r="710" spans="1:13" x14ac:dyDescent="0.35">
      <c r="A710" t="s">
        <v>850</v>
      </c>
      <c r="B710">
        <v>6706520015</v>
      </c>
      <c r="C710">
        <v>5069912817</v>
      </c>
      <c r="D710" t="s">
        <v>13</v>
      </c>
      <c r="E710" s="7">
        <v>490</v>
      </c>
      <c r="F710" s="7">
        <v>490</v>
      </c>
      <c r="G710" s="7">
        <v>0</v>
      </c>
      <c r="H710" t="s">
        <v>99</v>
      </c>
      <c r="I710" t="s">
        <v>68</v>
      </c>
      <c r="J710" t="s">
        <v>43</v>
      </c>
      <c r="K710" t="s">
        <v>16</v>
      </c>
      <c r="L710" t="s">
        <v>16</v>
      </c>
      <c r="M710" t="s">
        <v>17</v>
      </c>
    </row>
    <row r="711" spans="1:13" x14ac:dyDescent="0.35">
      <c r="A711" t="s">
        <v>851</v>
      </c>
      <c r="B711">
        <v>9478728735</v>
      </c>
      <c r="C711">
        <v>4729586407</v>
      </c>
      <c r="D711" t="s">
        <v>13</v>
      </c>
      <c r="E711" s="7">
        <v>362</v>
      </c>
      <c r="F711" s="7">
        <v>256</v>
      </c>
      <c r="G711" s="7">
        <v>106</v>
      </c>
      <c r="H711" t="s">
        <v>53</v>
      </c>
      <c r="I711" t="s">
        <v>138</v>
      </c>
      <c r="J711" t="s">
        <v>22</v>
      </c>
      <c r="K711" t="s">
        <v>27</v>
      </c>
      <c r="L711" t="s">
        <v>894</v>
      </c>
      <c r="M711" t="s">
        <v>40</v>
      </c>
    </row>
    <row r="712" spans="1:13" x14ac:dyDescent="0.35">
      <c r="A712" t="s">
        <v>852</v>
      </c>
      <c r="B712">
        <v>3887913057</v>
      </c>
      <c r="C712">
        <v>7362879865</v>
      </c>
      <c r="D712" t="s">
        <v>67</v>
      </c>
      <c r="E712" s="7">
        <v>456</v>
      </c>
      <c r="F712" s="7">
        <v>311</v>
      </c>
      <c r="G712" s="7">
        <v>145</v>
      </c>
      <c r="H712" t="s">
        <v>35</v>
      </c>
      <c r="I712" t="s">
        <v>97</v>
      </c>
      <c r="J712" t="s">
        <v>26</v>
      </c>
      <c r="K712" t="s">
        <v>0</v>
      </c>
      <c r="L712" t="s">
        <v>894</v>
      </c>
      <c r="M712" t="s">
        <v>58</v>
      </c>
    </row>
    <row r="713" spans="1:13" x14ac:dyDescent="0.35">
      <c r="A713" t="s">
        <v>853</v>
      </c>
      <c r="B713">
        <v>60143630</v>
      </c>
      <c r="C713">
        <v>1715505615</v>
      </c>
      <c r="D713" t="s">
        <v>30</v>
      </c>
      <c r="E713" s="7">
        <v>392</v>
      </c>
      <c r="F713" s="7">
        <v>272</v>
      </c>
      <c r="G713" s="7">
        <v>120</v>
      </c>
      <c r="H713" t="s">
        <v>80</v>
      </c>
      <c r="I713" t="s">
        <v>128</v>
      </c>
      <c r="J713" t="s">
        <v>26</v>
      </c>
      <c r="K713" t="s">
        <v>27</v>
      </c>
      <c r="L713" t="s">
        <v>894</v>
      </c>
      <c r="M713" t="s">
        <v>40</v>
      </c>
    </row>
    <row r="714" spans="1:13" x14ac:dyDescent="0.35">
      <c r="A714" t="s">
        <v>854</v>
      </c>
      <c r="B714">
        <v>210793628</v>
      </c>
      <c r="C714">
        <v>6510178676</v>
      </c>
      <c r="D714" t="s">
        <v>30</v>
      </c>
      <c r="E714" s="7">
        <v>184</v>
      </c>
      <c r="F714" s="7">
        <v>184</v>
      </c>
      <c r="G714" s="7">
        <v>0</v>
      </c>
      <c r="H714" t="s">
        <v>35</v>
      </c>
      <c r="I714" t="s">
        <v>246</v>
      </c>
      <c r="J714" t="s">
        <v>22</v>
      </c>
      <c r="K714" t="s">
        <v>16</v>
      </c>
      <c r="L714" t="s">
        <v>16</v>
      </c>
      <c r="M714" t="s">
        <v>17</v>
      </c>
    </row>
    <row r="715" spans="1:13" x14ac:dyDescent="0.35">
      <c r="A715" t="s">
        <v>855</v>
      </c>
      <c r="B715">
        <v>8596021338</v>
      </c>
      <c r="C715">
        <v>9234074892</v>
      </c>
      <c r="D715" t="s">
        <v>13</v>
      </c>
      <c r="E715" s="7">
        <v>233</v>
      </c>
      <c r="F715" s="7">
        <v>233</v>
      </c>
      <c r="G715" s="7">
        <v>0</v>
      </c>
      <c r="H715" t="s">
        <v>53</v>
      </c>
      <c r="I715" t="s">
        <v>88</v>
      </c>
      <c r="J715" t="s">
        <v>43</v>
      </c>
      <c r="K715" t="s">
        <v>0</v>
      </c>
      <c r="L715" t="s">
        <v>16</v>
      </c>
      <c r="M715" t="s">
        <v>44</v>
      </c>
    </row>
    <row r="716" spans="1:13" x14ac:dyDescent="0.35">
      <c r="A716" t="s">
        <v>856</v>
      </c>
      <c r="B716">
        <v>3018575271</v>
      </c>
      <c r="C716">
        <v>9455298</v>
      </c>
      <c r="D716" t="s">
        <v>24</v>
      </c>
      <c r="E716" s="7">
        <v>146</v>
      </c>
      <c r="F716" s="7">
        <v>0</v>
      </c>
      <c r="G716" s="7">
        <v>146</v>
      </c>
      <c r="H716" t="s">
        <v>99</v>
      </c>
      <c r="I716" t="s">
        <v>109</v>
      </c>
      <c r="J716" t="s">
        <v>26</v>
      </c>
      <c r="K716" t="s">
        <v>27</v>
      </c>
      <c r="L716" t="s">
        <v>0</v>
      </c>
      <c r="M716" t="s">
        <v>51</v>
      </c>
    </row>
    <row r="717" spans="1:13" x14ac:dyDescent="0.35">
      <c r="A717" t="s">
        <v>857</v>
      </c>
      <c r="B717">
        <v>5007701903</v>
      </c>
      <c r="C717">
        <v>1862927610</v>
      </c>
      <c r="D717" t="s">
        <v>30</v>
      </c>
      <c r="E717" s="7">
        <v>442</v>
      </c>
      <c r="F717" s="7">
        <v>442</v>
      </c>
      <c r="G717" s="7">
        <v>0</v>
      </c>
      <c r="H717" t="s">
        <v>20</v>
      </c>
      <c r="I717" t="s">
        <v>183</v>
      </c>
      <c r="J717" t="s">
        <v>43</v>
      </c>
      <c r="K717" t="s">
        <v>0</v>
      </c>
      <c r="L717" t="s">
        <v>16</v>
      </c>
      <c r="M717" t="s">
        <v>58</v>
      </c>
    </row>
    <row r="718" spans="1:13" x14ac:dyDescent="0.35">
      <c r="A718" t="s">
        <v>858</v>
      </c>
      <c r="B718">
        <v>1286000262</v>
      </c>
      <c r="C718">
        <v>6430700396</v>
      </c>
      <c r="D718" t="s">
        <v>30</v>
      </c>
      <c r="E718" s="7">
        <v>470</v>
      </c>
      <c r="F718" s="7">
        <v>470</v>
      </c>
      <c r="G718" s="7">
        <v>0</v>
      </c>
      <c r="H718" t="s">
        <v>31</v>
      </c>
      <c r="I718" t="s">
        <v>105</v>
      </c>
      <c r="J718" t="s">
        <v>26</v>
      </c>
      <c r="K718" t="s">
        <v>27</v>
      </c>
      <c r="L718" t="s">
        <v>16</v>
      </c>
      <c r="M718" t="s">
        <v>33</v>
      </c>
    </row>
    <row r="719" spans="1:13" x14ac:dyDescent="0.35">
      <c r="A719" t="s">
        <v>859</v>
      </c>
      <c r="B719">
        <v>2171841388</v>
      </c>
      <c r="C719">
        <v>2913924485</v>
      </c>
      <c r="D719" t="s">
        <v>30</v>
      </c>
      <c r="E719" s="7">
        <v>272</v>
      </c>
      <c r="F719" s="7">
        <v>272</v>
      </c>
      <c r="G719" s="7">
        <v>0</v>
      </c>
      <c r="H719" t="s">
        <v>56</v>
      </c>
      <c r="I719" t="s">
        <v>101</v>
      </c>
      <c r="J719" t="s">
        <v>22</v>
      </c>
      <c r="K719" t="s">
        <v>0</v>
      </c>
      <c r="L719" t="s">
        <v>16</v>
      </c>
      <c r="M719" t="s">
        <v>58</v>
      </c>
    </row>
    <row r="720" spans="1:13" x14ac:dyDescent="0.35">
      <c r="A720" t="s">
        <v>860</v>
      </c>
      <c r="B720">
        <v>68556660</v>
      </c>
      <c r="C720">
        <v>44413688</v>
      </c>
      <c r="D720" t="s">
        <v>24</v>
      </c>
      <c r="E720" s="7">
        <v>231</v>
      </c>
      <c r="F720" s="7">
        <v>231</v>
      </c>
      <c r="G720" s="7">
        <v>0</v>
      </c>
      <c r="H720" t="s">
        <v>35</v>
      </c>
      <c r="I720" t="s">
        <v>128</v>
      </c>
      <c r="J720" t="s">
        <v>26</v>
      </c>
      <c r="K720" t="s">
        <v>27</v>
      </c>
      <c r="L720" t="s">
        <v>16</v>
      </c>
      <c r="M720" t="s">
        <v>58</v>
      </c>
    </row>
    <row r="721" spans="1:13" x14ac:dyDescent="0.35">
      <c r="A721" t="s">
        <v>861</v>
      </c>
      <c r="B721">
        <v>1017210774</v>
      </c>
      <c r="C721">
        <v>6274414242</v>
      </c>
      <c r="D721" t="s">
        <v>30</v>
      </c>
      <c r="E721" s="7">
        <v>155</v>
      </c>
      <c r="F721" s="7">
        <v>0</v>
      </c>
      <c r="G721" s="7">
        <v>155</v>
      </c>
      <c r="H721" t="s">
        <v>70</v>
      </c>
      <c r="I721" t="s">
        <v>85</v>
      </c>
      <c r="J721" t="s">
        <v>26</v>
      </c>
      <c r="K721" t="s">
        <v>0</v>
      </c>
      <c r="L721" t="s">
        <v>0</v>
      </c>
      <c r="M721" t="s">
        <v>44</v>
      </c>
    </row>
    <row r="722" spans="1:13" x14ac:dyDescent="0.35">
      <c r="A722" t="s">
        <v>862</v>
      </c>
      <c r="B722">
        <v>5428644479</v>
      </c>
      <c r="C722">
        <v>7625464006</v>
      </c>
      <c r="D722" t="s">
        <v>67</v>
      </c>
      <c r="E722" s="7">
        <v>189</v>
      </c>
      <c r="F722" s="7">
        <v>189</v>
      </c>
      <c r="G722" s="7">
        <v>0</v>
      </c>
      <c r="H722" t="s">
        <v>70</v>
      </c>
      <c r="I722" t="s">
        <v>21</v>
      </c>
      <c r="J722" t="s">
        <v>22</v>
      </c>
      <c r="K722" t="s">
        <v>27</v>
      </c>
      <c r="L722" t="s">
        <v>16</v>
      </c>
      <c r="M722" t="s">
        <v>58</v>
      </c>
    </row>
    <row r="723" spans="1:13" x14ac:dyDescent="0.35">
      <c r="A723" t="s">
        <v>863</v>
      </c>
      <c r="B723">
        <v>7809721760</v>
      </c>
      <c r="C723">
        <v>2819227707</v>
      </c>
      <c r="D723" t="s">
        <v>67</v>
      </c>
      <c r="E723" s="7">
        <v>372</v>
      </c>
      <c r="F723" s="7">
        <v>0</v>
      </c>
      <c r="G723" s="7">
        <v>372</v>
      </c>
      <c r="H723" t="s">
        <v>70</v>
      </c>
      <c r="I723" t="s">
        <v>231</v>
      </c>
      <c r="J723" t="s">
        <v>26</v>
      </c>
      <c r="K723" t="s">
        <v>27</v>
      </c>
      <c r="L723" t="s">
        <v>0</v>
      </c>
      <c r="M723" t="s">
        <v>126</v>
      </c>
    </row>
    <row r="724" spans="1:13" x14ac:dyDescent="0.35">
      <c r="A724" t="s">
        <v>864</v>
      </c>
      <c r="B724">
        <v>612830199</v>
      </c>
      <c r="C724">
        <v>2524568194</v>
      </c>
      <c r="D724" t="s">
        <v>24</v>
      </c>
      <c r="E724" s="7">
        <v>319</v>
      </c>
      <c r="F724" s="7">
        <v>223</v>
      </c>
      <c r="G724" s="7">
        <v>96</v>
      </c>
      <c r="H724" t="s">
        <v>99</v>
      </c>
      <c r="I724" t="s">
        <v>78</v>
      </c>
      <c r="J724" t="s">
        <v>26</v>
      </c>
      <c r="K724" t="s">
        <v>27</v>
      </c>
      <c r="L724" t="s">
        <v>894</v>
      </c>
      <c r="M724" t="s">
        <v>44</v>
      </c>
    </row>
    <row r="725" spans="1:13" x14ac:dyDescent="0.35">
      <c r="A725" t="s">
        <v>865</v>
      </c>
      <c r="B725">
        <v>855109381</v>
      </c>
      <c r="C725">
        <v>6685567071</v>
      </c>
      <c r="D725" t="s">
        <v>67</v>
      </c>
      <c r="E725" s="7">
        <v>318</v>
      </c>
      <c r="F725" s="7">
        <v>318</v>
      </c>
      <c r="G725" s="7">
        <v>0</v>
      </c>
      <c r="H725" t="s">
        <v>53</v>
      </c>
      <c r="I725" t="s">
        <v>183</v>
      </c>
      <c r="J725" t="s">
        <v>43</v>
      </c>
      <c r="K725" t="s">
        <v>16</v>
      </c>
      <c r="L725" t="s">
        <v>16</v>
      </c>
      <c r="M725" t="s">
        <v>17</v>
      </c>
    </row>
    <row r="726" spans="1:13" x14ac:dyDescent="0.35">
      <c r="A726" t="s">
        <v>866</v>
      </c>
      <c r="B726">
        <v>8911955455</v>
      </c>
      <c r="C726">
        <v>4332730963</v>
      </c>
      <c r="D726" t="s">
        <v>30</v>
      </c>
      <c r="E726" s="7">
        <v>484</v>
      </c>
      <c r="F726" s="7">
        <v>484</v>
      </c>
      <c r="G726" s="7">
        <v>0</v>
      </c>
      <c r="H726" t="s">
        <v>56</v>
      </c>
      <c r="I726" t="s">
        <v>88</v>
      </c>
      <c r="J726" t="s">
        <v>43</v>
      </c>
      <c r="K726" t="s">
        <v>16</v>
      </c>
      <c r="L726" t="s">
        <v>16</v>
      </c>
      <c r="M726" t="s">
        <v>17</v>
      </c>
    </row>
    <row r="727" spans="1:13" x14ac:dyDescent="0.35">
      <c r="A727" t="s">
        <v>867</v>
      </c>
      <c r="B727">
        <v>2552564104</v>
      </c>
      <c r="C727">
        <v>7366680254</v>
      </c>
      <c r="D727" t="s">
        <v>13</v>
      </c>
      <c r="E727" s="7">
        <v>218</v>
      </c>
      <c r="F727" s="7">
        <v>218</v>
      </c>
      <c r="G727" s="7">
        <v>0</v>
      </c>
      <c r="H727" t="s">
        <v>80</v>
      </c>
      <c r="I727" t="s">
        <v>105</v>
      </c>
      <c r="J727" t="s">
        <v>22</v>
      </c>
      <c r="K727" t="s">
        <v>27</v>
      </c>
      <c r="L727" t="s">
        <v>16</v>
      </c>
      <c r="M727" t="s">
        <v>33</v>
      </c>
    </row>
    <row r="728" spans="1:13" x14ac:dyDescent="0.35">
      <c r="A728" t="s">
        <v>868</v>
      </c>
      <c r="B728">
        <v>3573634156</v>
      </c>
      <c r="C728">
        <v>2994357637</v>
      </c>
      <c r="D728" t="s">
        <v>30</v>
      </c>
      <c r="E728" s="7">
        <v>340</v>
      </c>
      <c r="F728" s="7">
        <v>340</v>
      </c>
      <c r="G728" s="7">
        <v>0</v>
      </c>
      <c r="H728" t="s">
        <v>53</v>
      </c>
      <c r="I728" t="s">
        <v>251</v>
      </c>
      <c r="J728" t="s">
        <v>43</v>
      </c>
      <c r="K728" t="s">
        <v>0</v>
      </c>
      <c r="L728" t="s">
        <v>16</v>
      </c>
      <c r="M728" t="s">
        <v>28</v>
      </c>
    </row>
    <row r="729" spans="1:13" x14ac:dyDescent="0.35">
      <c r="A729" t="s">
        <v>869</v>
      </c>
      <c r="B729">
        <v>4269876839</v>
      </c>
      <c r="C729">
        <v>3180402684</v>
      </c>
      <c r="D729" t="s">
        <v>24</v>
      </c>
      <c r="E729" s="7">
        <v>387</v>
      </c>
      <c r="F729" s="7">
        <v>387</v>
      </c>
      <c r="G729" s="7">
        <v>0</v>
      </c>
      <c r="H729" t="s">
        <v>35</v>
      </c>
      <c r="I729" t="s">
        <v>132</v>
      </c>
      <c r="J729" t="s">
        <v>26</v>
      </c>
      <c r="K729" t="s">
        <v>16</v>
      </c>
      <c r="L729" t="s">
        <v>16</v>
      </c>
      <c r="M729" t="s">
        <v>17</v>
      </c>
    </row>
    <row r="730" spans="1:13" x14ac:dyDescent="0.35">
      <c r="A730" t="s">
        <v>870</v>
      </c>
      <c r="B730">
        <v>3726785037</v>
      </c>
      <c r="C730">
        <v>9159503894</v>
      </c>
      <c r="D730" t="s">
        <v>19</v>
      </c>
      <c r="E730" s="7">
        <v>231</v>
      </c>
      <c r="F730" s="7">
        <v>0</v>
      </c>
      <c r="G730" s="7">
        <v>231</v>
      </c>
      <c r="H730" t="s">
        <v>53</v>
      </c>
      <c r="I730" t="s">
        <v>36</v>
      </c>
      <c r="J730" t="s">
        <v>22</v>
      </c>
      <c r="K730" t="s">
        <v>0</v>
      </c>
      <c r="L730" t="s">
        <v>0</v>
      </c>
      <c r="M730" t="s">
        <v>33</v>
      </c>
    </row>
    <row r="731" spans="1:13" x14ac:dyDescent="0.35">
      <c r="A731" t="s">
        <v>871</v>
      </c>
      <c r="B731">
        <v>7371628589</v>
      </c>
      <c r="C731">
        <v>9549523843</v>
      </c>
      <c r="D731" t="s">
        <v>19</v>
      </c>
      <c r="E731" s="7">
        <v>334</v>
      </c>
      <c r="F731" s="7">
        <v>0</v>
      </c>
      <c r="G731" s="7">
        <v>334</v>
      </c>
      <c r="H731" t="s">
        <v>53</v>
      </c>
      <c r="I731" t="s">
        <v>101</v>
      </c>
      <c r="J731" t="s">
        <v>43</v>
      </c>
      <c r="K731" t="s">
        <v>0</v>
      </c>
      <c r="L731" t="s">
        <v>0</v>
      </c>
      <c r="M731" t="s">
        <v>33</v>
      </c>
    </row>
    <row r="732" spans="1:13" x14ac:dyDescent="0.35">
      <c r="A732" t="s">
        <v>872</v>
      </c>
      <c r="B732">
        <v>394376347</v>
      </c>
      <c r="C732">
        <v>4847749483</v>
      </c>
      <c r="D732" t="s">
        <v>24</v>
      </c>
      <c r="E732" s="7">
        <v>215</v>
      </c>
      <c r="F732" s="7">
        <v>215</v>
      </c>
      <c r="G732" s="7">
        <v>0</v>
      </c>
      <c r="H732" t="s">
        <v>70</v>
      </c>
      <c r="I732" t="s">
        <v>378</v>
      </c>
      <c r="J732" t="s">
        <v>22</v>
      </c>
      <c r="K732" t="s">
        <v>16</v>
      </c>
      <c r="L732" t="s">
        <v>16</v>
      </c>
      <c r="M732" t="s">
        <v>17</v>
      </c>
    </row>
    <row r="733" spans="1:13" x14ac:dyDescent="0.35">
      <c r="A733" t="s">
        <v>873</v>
      </c>
      <c r="B733">
        <v>2410229753</v>
      </c>
      <c r="C733">
        <v>8889382304</v>
      </c>
      <c r="D733" t="s">
        <v>13</v>
      </c>
      <c r="E733" s="7">
        <v>140</v>
      </c>
      <c r="F733" s="7">
        <v>0</v>
      </c>
      <c r="G733" s="7">
        <v>140</v>
      </c>
      <c r="H733" t="s">
        <v>20</v>
      </c>
      <c r="I733" t="s">
        <v>50</v>
      </c>
      <c r="J733" t="s">
        <v>22</v>
      </c>
      <c r="K733" t="s">
        <v>0</v>
      </c>
      <c r="L733" t="s">
        <v>0</v>
      </c>
      <c r="M733" t="s">
        <v>58</v>
      </c>
    </row>
    <row r="734" spans="1:13" x14ac:dyDescent="0.35">
      <c r="A734" t="s">
        <v>874</v>
      </c>
      <c r="B734">
        <v>9184442440</v>
      </c>
      <c r="C734">
        <v>6416013057</v>
      </c>
      <c r="D734" t="s">
        <v>13</v>
      </c>
      <c r="E734" s="7">
        <v>383</v>
      </c>
      <c r="F734" s="7">
        <v>0</v>
      </c>
      <c r="G734" s="7">
        <v>383</v>
      </c>
      <c r="H734" t="s">
        <v>56</v>
      </c>
      <c r="I734" t="s">
        <v>92</v>
      </c>
      <c r="J734" t="s">
        <v>43</v>
      </c>
      <c r="K734" t="s">
        <v>0</v>
      </c>
      <c r="L734" t="s">
        <v>0</v>
      </c>
      <c r="M734" t="s">
        <v>44</v>
      </c>
    </row>
    <row r="735" spans="1:13" x14ac:dyDescent="0.35">
      <c r="A735" t="s">
        <v>875</v>
      </c>
      <c r="B735">
        <v>323121237</v>
      </c>
      <c r="C735">
        <v>2811018929</v>
      </c>
      <c r="D735" t="s">
        <v>67</v>
      </c>
      <c r="E735" s="7">
        <v>289</v>
      </c>
      <c r="F735" s="7">
        <v>289</v>
      </c>
      <c r="G735" s="7">
        <v>0</v>
      </c>
      <c r="H735" t="s">
        <v>70</v>
      </c>
      <c r="I735" t="s">
        <v>36</v>
      </c>
      <c r="J735" t="s">
        <v>22</v>
      </c>
      <c r="K735" t="s">
        <v>16</v>
      </c>
      <c r="L735" t="s">
        <v>16</v>
      </c>
      <c r="M735" t="s">
        <v>17</v>
      </c>
    </row>
    <row r="736" spans="1:13" x14ac:dyDescent="0.35">
      <c r="A736" t="s">
        <v>876</v>
      </c>
      <c r="B736">
        <v>3585470974</v>
      </c>
      <c r="C736">
        <v>5620689752</v>
      </c>
      <c r="D736" t="s">
        <v>67</v>
      </c>
      <c r="E736" s="7">
        <v>177</v>
      </c>
      <c r="F736" s="7">
        <v>177</v>
      </c>
      <c r="G736" s="7">
        <v>0</v>
      </c>
      <c r="H736" t="s">
        <v>14</v>
      </c>
      <c r="I736" t="s">
        <v>122</v>
      </c>
      <c r="J736" t="s">
        <v>43</v>
      </c>
      <c r="K736" t="s">
        <v>16</v>
      </c>
      <c r="L736" t="s">
        <v>16</v>
      </c>
      <c r="M736" t="s">
        <v>17</v>
      </c>
    </row>
    <row r="737" spans="1:13" x14ac:dyDescent="0.35">
      <c r="A737" t="s">
        <v>877</v>
      </c>
      <c r="B737">
        <v>5318117827</v>
      </c>
      <c r="C737">
        <v>8005073082</v>
      </c>
      <c r="D737" t="s">
        <v>67</v>
      </c>
      <c r="E737" s="7">
        <v>243</v>
      </c>
      <c r="F737" s="7">
        <v>0</v>
      </c>
      <c r="G737" s="7">
        <v>243</v>
      </c>
      <c r="H737" t="s">
        <v>99</v>
      </c>
      <c r="I737" t="s">
        <v>281</v>
      </c>
      <c r="J737" t="s">
        <v>26</v>
      </c>
      <c r="K737" t="s">
        <v>0</v>
      </c>
      <c r="L737" t="s">
        <v>0</v>
      </c>
      <c r="M737" t="s">
        <v>126</v>
      </c>
    </row>
    <row r="738" spans="1:13" x14ac:dyDescent="0.35">
      <c r="A738" t="s">
        <v>878</v>
      </c>
      <c r="B738">
        <v>7988786793</v>
      </c>
      <c r="C738">
        <v>8693145308</v>
      </c>
      <c r="D738" t="s">
        <v>19</v>
      </c>
      <c r="E738" s="7">
        <v>280</v>
      </c>
      <c r="F738" s="7">
        <v>280</v>
      </c>
      <c r="G738" s="7">
        <v>0</v>
      </c>
      <c r="H738" t="s">
        <v>80</v>
      </c>
      <c r="I738" t="s">
        <v>155</v>
      </c>
      <c r="J738" t="s">
        <v>43</v>
      </c>
      <c r="K738" t="s">
        <v>0</v>
      </c>
      <c r="L738" t="s">
        <v>16</v>
      </c>
      <c r="M738" t="s">
        <v>55</v>
      </c>
    </row>
    <row r="739" spans="1:13" x14ac:dyDescent="0.35">
      <c r="A739" t="s">
        <v>879</v>
      </c>
      <c r="B739">
        <v>1625980232</v>
      </c>
      <c r="C739">
        <v>7984928771</v>
      </c>
      <c r="D739" t="s">
        <v>19</v>
      </c>
      <c r="E739" s="7">
        <v>196</v>
      </c>
      <c r="F739" s="7">
        <v>196</v>
      </c>
      <c r="G739" s="7">
        <v>0</v>
      </c>
      <c r="H739" t="s">
        <v>35</v>
      </c>
      <c r="I739" t="s">
        <v>137</v>
      </c>
      <c r="J739" t="s">
        <v>26</v>
      </c>
      <c r="K739" t="s">
        <v>16</v>
      </c>
      <c r="L739" t="s">
        <v>16</v>
      </c>
      <c r="M739" t="s">
        <v>17</v>
      </c>
    </row>
    <row r="740" spans="1:13" x14ac:dyDescent="0.35">
      <c r="A740" t="s">
        <v>880</v>
      </c>
      <c r="B740">
        <v>2252917045</v>
      </c>
      <c r="C740">
        <v>8396644866</v>
      </c>
      <c r="D740" t="s">
        <v>24</v>
      </c>
      <c r="E740" s="7">
        <v>126</v>
      </c>
      <c r="F740" s="7">
        <v>126</v>
      </c>
      <c r="G740" s="7">
        <v>0</v>
      </c>
      <c r="H740" t="s">
        <v>20</v>
      </c>
      <c r="I740" t="s">
        <v>65</v>
      </c>
      <c r="J740" t="s">
        <v>22</v>
      </c>
      <c r="K740" t="s">
        <v>16</v>
      </c>
      <c r="L740" t="s">
        <v>16</v>
      </c>
      <c r="M740" t="s">
        <v>17</v>
      </c>
    </row>
    <row r="741" spans="1:13" x14ac:dyDescent="0.35">
      <c r="A741" t="s">
        <v>881</v>
      </c>
      <c r="B741">
        <v>1249681569</v>
      </c>
      <c r="C741">
        <v>9904134474</v>
      </c>
      <c r="D741" t="s">
        <v>13</v>
      </c>
      <c r="E741" s="7">
        <v>154</v>
      </c>
      <c r="F741" s="7">
        <v>0</v>
      </c>
      <c r="G741" s="7">
        <v>154</v>
      </c>
      <c r="H741" t="s">
        <v>35</v>
      </c>
      <c r="I741" t="s">
        <v>239</v>
      </c>
      <c r="J741" t="s">
        <v>43</v>
      </c>
      <c r="K741" t="s">
        <v>27</v>
      </c>
      <c r="L741" t="s">
        <v>0</v>
      </c>
      <c r="M741" t="s">
        <v>58</v>
      </c>
    </row>
    <row r="742" spans="1:13" x14ac:dyDescent="0.35">
      <c r="A742" t="s">
        <v>882</v>
      </c>
      <c r="B742">
        <v>7576940660</v>
      </c>
      <c r="C742">
        <v>7531029728</v>
      </c>
      <c r="D742" t="s">
        <v>19</v>
      </c>
      <c r="E742" s="7">
        <v>111</v>
      </c>
      <c r="F742" s="7">
        <v>0</v>
      </c>
      <c r="G742" s="7">
        <v>111</v>
      </c>
      <c r="H742" t="s">
        <v>99</v>
      </c>
      <c r="I742" t="s">
        <v>149</v>
      </c>
      <c r="J742" t="s">
        <v>43</v>
      </c>
      <c r="K742" t="s">
        <v>27</v>
      </c>
      <c r="L742" t="s">
        <v>0</v>
      </c>
      <c r="M742" t="s">
        <v>44</v>
      </c>
    </row>
    <row r="743" spans="1:13" x14ac:dyDescent="0.35">
      <c r="A743" t="s">
        <v>883</v>
      </c>
      <c r="B743">
        <v>857885656</v>
      </c>
      <c r="C743">
        <v>9457452499</v>
      </c>
      <c r="D743" t="s">
        <v>24</v>
      </c>
      <c r="E743" s="7">
        <v>232</v>
      </c>
      <c r="F743" s="7">
        <v>0</v>
      </c>
      <c r="G743" s="7">
        <v>232</v>
      </c>
      <c r="H743" t="s">
        <v>53</v>
      </c>
      <c r="I743" t="s">
        <v>36</v>
      </c>
      <c r="J743" t="s">
        <v>43</v>
      </c>
      <c r="K743" t="s">
        <v>27</v>
      </c>
      <c r="L743" t="s">
        <v>0</v>
      </c>
      <c r="M743" t="s">
        <v>51</v>
      </c>
    </row>
    <row r="744" spans="1:13" x14ac:dyDescent="0.35">
      <c r="A744" t="s">
        <v>884</v>
      </c>
      <c r="B744">
        <v>5673128834</v>
      </c>
      <c r="C744">
        <v>2341545862</v>
      </c>
      <c r="D744" t="s">
        <v>19</v>
      </c>
      <c r="E744" s="7">
        <v>337</v>
      </c>
      <c r="F744" s="7">
        <v>337</v>
      </c>
      <c r="G744" s="7">
        <v>0</v>
      </c>
      <c r="H744" t="s">
        <v>38</v>
      </c>
      <c r="I744" t="s">
        <v>378</v>
      </c>
      <c r="J744" t="s">
        <v>26</v>
      </c>
      <c r="K744" t="s">
        <v>0</v>
      </c>
      <c r="L744" t="s">
        <v>16</v>
      </c>
      <c r="M744" t="s">
        <v>55</v>
      </c>
    </row>
    <row r="745" spans="1:13" x14ac:dyDescent="0.35">
      <c r="A745" t="s">
        <v>885</v>
      </c>
      <c r="B745">
        <v>6596054863</v>
      </c>
      <c r="C745">
        <v>6385714360</v>
      </c>
      <c r="D745" t="s">
        <v>24</v>
      </c>
      <c r="E745" s="7">
        <v>368</v>
      </c>
      <c r="F745" s="7">
        <v>368</v>
      </c>
      <c r="G745" s="7">
        <v>0</v>
      </c>
      <c r="H745" t="s">
        <v>14</v>
      </c>
      <c r="I745" t="s">
        <v>101</v>
      </c>
      <c r="J745" t="s">
        <v>26</v>
      </c>
      <c r="K745" t="s">
        <v>16</v>
      </c>
      <c r="L745" t="s">
        <v>16</v>
      </c>
      <c r="M745" t="s">
        <v>17</v>
      </c>
    </row>
    <row r="746" spans="1:13" x14ac:dyDescent="0.35">
      <c r="A746" t="s">
        <v>886</v>
      </c>
      <c r="B746">
        <v>9732826920</v>
      </c>
      <c r="C746">
        <v>3450599574</v>
      </c>
      <c r="D746" t="s">
        <v>24</v>
      </c>
      <c r="E746" s="7">
        <v>325</v>
      </c>
      <c r="F746" s="7">
        <v>0</v>
      </c>
      <c r="G746" s="7">
        <v>325</v>
      </c>
      <c r="H746" t="s">
        <v>20</v>
      </c>
      <c r="I746" t="s">
        <v>183</v>
      </c>
      <c r="J746" t="s">
        <v>26</v>
      </c>
      <c r="K746" t="s">
        <v>27</v>
      </c>
      <c r="L746" t="s">
        <v>0</v>
      </c>
      <c r="M746" t="s">
        <v>40</v>
      </c>
    </row>
    <row r="747" spans="1:13" x14ac:dyDescent="0.35">
      <c r="A747" t="s">
        <v>887</v>
      </c>
      <c r="B747">
        <v>8550510442</v>
      </c>
      <c r="C747">
        <v>5857603017</v>
      </c>
      <c r="D747" t="s">
        <v>24</v>
      </c>
      <c r="E747" s="7">
        <v>397</v>
      </c>
      <c r="F747" s="7">
        <v>397</v>
      </c>
      <c r="G747" s="7">
        <v>0</v>
      </c>
      <c r="H747" t="s">
        <v>80</v>
      </c>
      <c r="I747" t="s">
        <v>155</v>
      </c>
      <c r="J747" t="s">
        <v>26</v>
      </c>
      <c r="K747" t="s">
        <v>0</v>
      </c>
      <c r="L747" t="s">
        <v>16</v>
      </c>
      <c r="M747" t="s">
        <v>33</v>
      </c>
    </row>
    <row r="748" spans="1:13" x14ac:dyDescent="0.35">
      <c r="A748" t="s">
        <v>888</v>
      </c>
      <c r="B748">
        <v>1301050188</v>
      </c>
      <c r="C748">
        <v>6125533859</v>
      </c>
      <c r="D748" t="s">
        <v>30</v>
      </c>
      <c r="E748" s="7">
        <v>181</v>
      </c>
      <c r="F748" s="7">
        <v>0</v>
      </c>
      <c r="G748" s="7">
        <v>181</v>
      </c>
      <c r="H748" t="s">
        <v>38</v>
      </c>
      <c r="I748" t="s">
        <v>32</v>
      </c>
      <c r="J748" t="s">
        <v>22</v>
      </c>
      <c r="K748" t="s">
        <v>0</v>
      </c>
      <c r="L748" t="s">
        <v>0</v>
      </c>
      <c r="M748" t="s">
        <v>58</v>
      </c>
    </row>
    <row r="749" spans="1:13" x14ac:dyDescent="0.35">
      <c r="A749" t="s">
        <v>889</v>
      </c>
      <c r="B749">
        <v>7640195037</v>
      </c>
      <c r="C749">
        <v>6836887959</v>
      </c>
      <c r="D749" t="s">
        <v>30</v>
      </c>
      <c r="E749" s="7">
        <v>307</v>
      </c>
      <c r="F749" s="7">
        <v>307</v>
      </c>
      <c r="G749" s="7">
        <v>0</v>
      </c>
      <c r="H749" t="s">
        <v>35</v>
      </c>
      <c r="I749" t="s">
        <v>187</v>
      </c>
      <c r="J749" t="s">
        <v>26</v>
      </c>
      <c r="K749" t="s">
        <v>16</v>
      </c>
      <c r="L749" t="s">
        <v>16</v>
      </c>
      <c r="M749" t="s">
        <v>17</v>
      </c>
    </row>
    <row r="750" spans="1:13" x14ac:dyDescent="0.35">
      <c r="A750" t="s">
        <v>890</v>
      </c>
      <c r="B750">
        <v>3378390045</v>
      </c>
      <c r="C750">
        <v>8592277150</v>
      </c>
      <c r="D750" t="s">
        <v>19</v>
      </c>
      <c r="E750" s="7">
        <v>150</v>
      </c>
      <c r="F750" s="7">
        <v>150</v>
      </c>
      <c r="G750" s="7">
        <v>0</v>
      </c>
      <c r="H750" t="s">
        <v>31</v>
      </c>
      <c r="I750" t="s">
        <v>220</v>
      </c>
      <c r="J750" t="s">
        <v>22</v>
      </c>
      <c r="K750" t="s">
        <v>16</v>
      </c>
      <c r="L750" t="s">
        <v>16</v>
      </c>
      <c r="M750" t="s">
        <v>17</v>
      </c>
    </row>
    <row r="751" spans="1:13" x14ac:dyDescent="0.35">
      <c r="A751" t="s">
        <v>891</v>
      </c>
      <c r="B751">
        <v>2766789913</v>
      </c>
      <c r="C751">
        <v>9757787667</v>
      </c>
      <c r="D751" t="s">
        <v>24</v>
      </c>
      <c r="E751" s="7">
        <v>128</v>
      </c>
      <c r="F751" s="7">
        <v>128</v>
      </c>
      <c r="G751" s="7">
        <v>0</v>
      </c>
      <c r="H751" t="s">
        <v>20</v>
      </c>
      <c r="I751" t="s">
        <v>54</v>
      </c>
      <c r="J751" t="s">
        <v>22</v>
      </c>
      <c r="K751" t="s">
        <v>16</v>
      </c>
      <c r="L751" t="s">
        <v>16</v>
      </c>
      <c r="M751" t="s">
        <v>17</v>
      </c>
    </row>
    <row r="752" spans="1:13" x14ac:dyDescent="0.35">
      <c r="A752" t="s">
        <v>892</v>
      </c>
      <c r="B752">
        <v>1335890669</v>
      </c>
      <c r="C752">
        <v>1995402912</v>
      </c>
      <c r="D752" t="s">
        <v>30</v>
      </c>
      <c r="E752" s="7">
        <v>178</v>
      </c>
      <c r="F752" s="7">
        <v>0</v>
      </c>
      <c r="G752" s="7">
        <v>178</v>
      </c>
      <c r="H752" t="s">
        <v>31</v>
      </c>
      <c r="I752" t="s">
        <v>221</v>
      </c>
      <c r="J752" t="s">
        <v>43</v>
      </c>
      <c r="K752" t="s">
        <v>27</v>
      </c>
      <c r="L752" t="s">
        <v>0</v>
      </c>
      <c r="M752" t="s">
        <v>44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08E5-194E-4C39-883D-752A7B0EFD6B}">
  <dimension ref="A2:P173"/>
  <sheetViews>
    <sheetView topLeftCell="A58" zoomScale="68" zoomScaleNormal="65" workbookViewId="0">
      <selection activeCell="I14" sqref="I14"/>
    </sheetView>
  </sheetViews>
  <sheetFormatPr defaultRowHeight="14.5" x14ac:dyDescent="0.35"/>
  <cols>
    <col min="1" max="1" width="8.6640625" customWidth="1"/>
    <col min="2" max="2" width="22.58203125" customWidth="1"/>
    <col min="3" max="3" width="26.25" customWidth="1"/>
    <col min="4" max="5" width="6.1640625" customWidth="1"/>
    <col min="6" max="6" width="15.83203125" customWidth="1"/>
    <col min="7" max="7" width="15.4140625" customWidth="1"/>
    <col min="8" max="8" width="26.25" customWidth="1"/>
    <col min="9" max="9" width="10.1640625" customWidth="1"/>
    <col min="10" max="10" width="22.58203125" customWidth="1"/>
    <col min="11" max="11" width="26.25" customWidth="1"/>
    <col min="12" max="12" width="7" customWidth="1"/>
    <col min="13" max="13" width="6.1640625" customWidth="1"/>
    <col min="14" max="14" width="6.58203125" customWidth="1"/>
    <col min="15" max="15" width="10.4140625" customWidth="1"/>
    <col min="16" max="16" width="10.58203125" customWidth="1"/>
    <col min="17" max="17" width="14.1640625" customWidth="1"/>
    <col min="18" max="18" width="15" bestFit="1" customWidth="1"/>
    <col min="19" max="23" width="5.6640625" bestFit="1" customWidth="1"/>
    <col min="24" max="24" width="14.33203125" bestFit="1" customWidth="1"/>
    <col min="25" max="29" width="5.6640625" bestFit="1" customWidth="1"/>
    <col min="30" max="30" width="22.4140625" bestFit="1" customWidth="1"/>
    <col min="31" max="31" width="19.1640625" bestFit="1" customWidth="1"/>
    <col min="32" max="32" width="20.6640625" bestFit="1" customWidth="1"/>
    <col min="33" max="33" width="17.6640625" bestFit="1" customWidth="1"/>
    <col min="34" max="34" width="15.83203125" bestFit="1" customWidth="1"/>
    <col min="35" max="35" width="13" bestFit="1" customWidth="1"/>
    <col min="36" max="36" width="18.83203125" bestFit="1" customWidth="1"/>
    <col min="37" max="37" width="7.75" bestFit="1" customWidth="1"/>
    <col min="38" max="38" width="17.6640625" bestFit="1" customWidth="1"/>
    <col min="39" max="39" width="13" bestFit="1" customWidth="1"/>
    <col min="40" max="40" width="22.4140625" bestFit="1" customWidth="1"/>
    <col min="41" max="41" width="19.1640625" bestFit="1" customWidth="1"/>
    <col min="42" max="42" width="20.6640625" bestFit="1" customWidth="1"/>
    <col min="43" max="43" width="21.25" bestFit="1" customWidth="1"/>
    <col min="44" max="44" width="15.83203125" bestFit="1" customWidth="1"/>
    <col min="45" max="45" width="18.83203125" bestFit="1" customWidth="1"/>
    <col min="46" max="46" width="10.08203125" bestFit="1" customWidth="1"/>
    <col min="47" max="47" width="17.6640625" bestFit="1" customWidth="1"/>
    <col min="48" max="48" width="18.83203125" bestFit="1" customWidth="1"/>
    <col min="49" max="49" width="21.25" bestFit="1" customWidth="1"/>
    <col min="50" max="50" width="15.83203125" bestFit="1" customWidth="1"/>
    <col min="51" max="51" width="19.1640625" bestFit="1" customWidth="1"/>
    <col min="52" max="52" width="20.6640625" bestFit="1" customWidth="1"/>
    <col min="53" max="53" width="22.4140625" bestFit="1" customWidth="1"/>
    <col min="54" max="54" width="13" bestFit="1" customWidth="1"/>
    <col min="55" max="55" width="13.33203125" bestFit="1" customWidth="1"/>
    <col min="56" max="56" width="9.5" bestFit="1" customWidth="1"/>
  </cols>
  <sheetData>
    <row r="2" spans="1:16" x14ac:dyDescent="0.35">
      <c r="A2" s="5" t="s">
        <v>3</v>
      </c>
    </row>
    <row r="3" spans="1:16" x14ac:dyDescent="0.35">
      <c r="B3" s="1" t="s">
        <v>920</v>
      </c>
      <c r="C3" s="1" t="s">
        <v>7</v>
      </c>
      <c r="J3" s="1" t="s">
        <v>921</v>
      </c>
      <c r="K3" s="1" t="s">
        <v>7</v>
      </c>
    </row>
    <row r="4" spans="1:16" x14ac:dyDescent="0.35">
      <c r="B4" s="1" t="s">
        <v>2</v>
      </c>
      <c r="C4" t="s">
        <v>30</v>
      </c>
      <c r="D4" t="s">
        <v>19</v>
      </c>
      <c r="E4" t="s">
        <v>24</v>
      </c>
      <c r="F4" t="s">
        <v>13</v>
      </c>
      <c r="G4" t="s">
        <v>67</v>
      </c>
      <c r="H4" t="s">
        <v>1</v>
      </c>
      <c r="J4" s="1" t="s">
        <v>2</v>
      </c>
      <c r="K4" t="s">
        <v>30</v>
      </c>
      <c r="L4" t="s">
        <v>19</v>
      </c>
      <c r="M4" t="s">
        <v>24</v>
      </c>
      <c r="N4" t="s">
        <v>13</v>
      </c>
      <c r="O4" t="s">
        <v>67</v>
      </c>
      <c r="P4" t="s">
        <v>1</v>
      </c>
    </row>
    <row r="5" spans="1:16" x14ac:dyDescent="0.35">
      <c r="B5" s="2" t="s">
        <v>0</v>
      </c>
      <c r="C5">
        <v>48</v>
      </c>
      <c r="D5">
        <v>59</v>
      </c>
      <c r="E5">
        <v>56</v>
      </c>
      <c r="F5">
        <v>57</v>
      </c>
      <c r="G5">
        <v>28</v>
      </c>
      <c r="H5">
        <v>248</v>
      </c>
      <c r="J5" s="2" t="s">
        <v>0</v>
      </c>
      <c r="K5">
        <v>43</v>
      </c>
      <c r="L5">
        <v>34</v>
      </c>
      <c r="M5">
        <v>41</v>
      </c>
      <c r="N5">
        <v>37</v>
      </c>
      <c r="O5">
        <v>16</v>
      </c>
      <c r="P5">
        <v>171</v>
      </c>
    </row>
    <row r="6" spans="1:16" x14ac:dyDescent="0.35">
      <c r="B6" s="2" t="s">
        <v>16</v>
      </c>
      <c r="C6">
        <v>51</v>
      </c>
      <c r="D6">
        <v>55</v>
      </c>
      <c r="E6">
        <v>52</v>
      </c>
      <c r="F6">
        <v>54</v>
      </c>
      <c r="G6">
        <v>37</v>
      </c>
      <c r="H6">
        <v>249</v>
      </c>
      <c r="J6" s="2" t="s">
        <v>16</v>
      </c>
      <c r="K6">
        <v>92</v>
      </c>
      <c r="L6">
        <v>93</v>
      </c>
      <c r="M6">
        <v>100</v>
      </c>
      <c r="N6">
        <v>89</v>
      </c>
      <c r="O6">
        <v>67</v>
      </c>
      <c r="P6">
        <v>441</v>
      </c>
    </row>
    <row r="7" spans="1:16" x14ac:dyDescent="0.35">
      <c r="B7" s="2" t="s">
        <v>27</v>
      </c>
      <c r="C7">
        <v>65</v>
      </c>
      <c r="D7">
        <v>41</v>
      </c>
      <c r="E7">
        <v>70</v>
      </c>
      <c r="F7">
        <v>44</v>
      </c>
      <c r="G7">
        <v>34</v>
      </c>
      <c r="H7">
        <v>254</v>
      </c>
      <c r="J7" s="2" t="s">
        <v>894</v>
      </c>
      <c r="K7">
        <v>29</v>
      </c>
      <c r="L7">
        <v>28</v>
      </c>
      <c r="M7">
        <v>37</v>
      </c>
      <c r="N7">
        <v>29</v>
      </c>
      <c r="O7">
        <v>16</v>
      </c>
      <c r="P7">
        <v>139</v>
      </c>
    </row>
    <row r="8" spans="1:16" x14ac:dyDescent="0.35">
      <c r="B8" s="2" t="s">
        <v>1</v>
      </c>
      <c r="C8">
        <v>164</v>
      </c>
      <c r="D8">
        <v>155</v>
      </c>
      <c r="E8">
        <v>178</v>
      </c>
      <c r="F8">
        <v>155</v>
      </c>
      <c r="G8">
        <v>99</v>
      </c>
      <c r="H8">
        <v>751</v>
      </c>
      <c r="J8" s="2" t="s">
        <v>1</v>
      </c>
      <c r="K8">
        <v>164</v>
      </c>
      <c r="L8">
        <v>155</v>
      </c>
      <c r="M8">
        <v>178</v>
      </c>
      <c r="N8">
        <v>155</v>
      </c>
      <c r="O8">
        <v>99</v>
      </c>
      <c r="P8">
        <v>751</v>
      </c>
    </row>
    <row r="10" spans="1:16" x14ac:dyDescent="0.35">
      <c r="F10" s="9"/>
      <c r="G10" s="29" t="s">
        <v>30</v>
      </c>
      <c r="H10" s="30" t="s">
        <v>19</v>
      </c>
      <c r="I10" s="30" t="s">
        <v>24</v>
      </c>
      <c r="J10" s="30" t="s">
        <v>13</v>
      </c>
      <c r="K10" s="30" t="s">
        <v>67</v>
      </c>
      <c r="L10" s="30" t="s">
        <v>919</v>
      </c>
    </row>
    <row r="11" spans="1:16" x14ac:dyDescent="0.35">
      <c r="F11" s="31" t="s">
        <v>900</v>
      </c>
      <c r="G11" s="27">
        <f>(GETPIVOTDATA("Initial Claim Status",$B$3,"Month","May","Initial Claim Status","Denied")/GETPIVOTDATA("Initial Claim Status",$B$3,"Month","May"))</f>
        <v>0.29268292682926828</v>
      </c>
      <c r="H11" s="27">
        <f>(GETPIVOTDATA("Initial Claim Status",$B$3,"Month","June","Initial Claim Status","Denied")/GETPIVOTDATA("Initial Claim Status",$B$3,"Month","June"))</f>
        <v>0.38064516129032255</v>
      </c>
      <c r="I11" s="27">
        <f>(GETPIVOTDATA("Initial Claim Status",$B$3,"Month","July","Initial Claim Status","Denied")/GETPIVOTDATA("Initial Claim Status",$B$3,"Month","July"))</f>
        <v>0.3146067415730337</v>
      </c>
      <c r="J11" s="27">
        <f>(GETPIVOTDATA("Initial Claim Status",$B$3,"Month","August","Initial Claim Status","Denied")/GETPIVOTDATA("Initial Claim Status",$B$3,"Month","August"))</f>
        <v>0.36774193548387096</v>
      </c>
      <c r="K11" s="27">
        <f>(GETPIVOTDATA("Initial Claim Status",$B$3,"Month","September","Initial Claim Status","Denied")/GETPIVOTDATA("Initial Claim Status",$B$3,"Month","September"))</f>
        <v>0.28282828282828282</v>
      </c>
      <c r="L11" s="27">
        <f>(GETPIVOTDATA("Initial Claim Status",$B$3,"Initial Claim Status","Denied")/GETPIVOTDATA("Initial Claim Status",$B$3))</f>
        <v>0.33022636484687085</v>
      </c>
    </row>
    <row r="12" spans="1:16" x14ac:dyDescent="0.35">
      <c r="F12" s="32" t="s">
        <v>901</v>
      </c>
      <c r="G12" s="28">
        <f>GETPIVOTDATA("Final Claim Status",$J$3,"Month","May","Final Claim Status","Denied")/GETPIVOTDATA("Final Claim Status",$J$3,"Month","May")</f>
        <v>0.26219512195121952</v>
      </c>
      <c r="H12" s="28">
        <f>GETPIVOTDATA("Final Claim Status",$J$3,"Month","June","Final Claim Status","Denied")/GETPIVOTDATA("Final Claim Status",$J$3,"Month","June")</f>
        <v>0.21935483870967742</v>
      </c>
      <c r="I12" s="28">
        <f>GETPIVOTDATA("Final Claim Status",$J$3,"Month","July","Final Claim Status","Denied")/GETPIVOTDATA("Final Claim Status",$J$3,"Month","July")</f>
        <v>0.2303370786516854</v>
      </c>
      <c r="J12" s="28">
        <f>GETPIVOTDATA("Final Claim Status",$J$3,"Month","August","Final Claim Status","Denied")/GETPIVOTDATA("Final Claim Status",$J$3,"Month","August")</f>
        <v>0.23870967741935484</v>
      </c>
      <c r="K12" s="28">
        <f>GETPIVOTDATA("Final Claim Status",$J$3,"Month","September","Final Claim Status","Denied")/GETPIVOTDATA("Final Claim Status",$J$3,"Month","September")</f>
        <v>0.16161616161616163</v>
      </c>
      <c r="L12" s="28">
        <f>GETPIVOTDATA("Final Claim Status",$J$3,"Final Claim Status","Denied")/GETPIVOTDATA("Final Claim Status",$J$3)</f>
        <v>0.22769640479360853</v>
      </c>
      <c r="M12" s="16"/>
    </row>
    <row r="13" spans="1:16" x14ac:dyDescent="0.35">
      <c r="L13" s="9"/>
    </row>
    <row r="14" spans="1:16" x14ac:dyDescent="0.35">
      <c r="A14" s="5" t="s">
        <v>903</v>
      </c>
    </row>
    <row r="15" spans="1:16" x14ac:dyDescent="0.35">
      <c r="B15" s="4" t="s">
        <v>904</v>
      </c>
      <c r="E15" s="4" t="s">
        <v>905</v>
      </c>
    </row>
    <row r="16" spans="1:16" x14ac:dyDescent="0.35">
      <c r="B16" s="1" t="s">
        <v>7</v>
      </c>
      <c r="C16" t="s">
        <v>902</v>
      </c>
      <c r="E16" s="3" t="s">
        <v>7</v>
      </c>
      <c r="F16" s="3" t="s">
        <v>906</v>
      </c>
      <c r="G16" s="3" t="s">
        <v>909</v>
      </c>
    </row>
    <row r="17" spans="1:16" x14ac:dyDescent="0.35">
      <c r="B17" s="2" t="s">
        <v>30</v>
      </c>
      <c r="C17" s="7">
        <v>15827</v>
      </c>
      <c r="D17" s="9"/>
      <c r="E17" s="13" t="s">
        <v>30</v>
      </c>
      <c r="F17">
        <v>48</v>
      </c>
      <c r="G17" s="7">
        <f>F17*44</f>
        <v>2112</v>
      </c>
    </row>
    <row r="18" spans="1:16" x14ac:dyDescent="0.35">
      <c r="B18" s="2" t="s">
        <v>19</v>
      </c>
      <c r="C18" s="7">
        <v>12788</v>
      </c>
      <c r="D18" s="9"/>
      <c r="E18" s="12" t="s">
        <v>19</v>
      </c>
      <c r="F18">
        <v>59</v>
      </c>
      <c r="G18" s="7">
        <f t="shared" ref="G18:G21" si="0">F18*44</f>
        <v>2596</v>
      </c>
    </row>
    <row r="19" spans="1:16" x14ac:dyDescent="0.35">
      <c r="B19" s="2" t="s">
        <v>24</v>
      </c>
      <c r="C19" s="7">
        <v>14744</v>
      </c>
      <c r="D19" s="9"/>
      <c r="E19" s="11" t="s">
        <v>24</v>
      </c>
      <c r="F19">
        <v>56</v>
      </c>
      <c r="G19" s="7">
        <f t="shared" si="0"/>
        <v>2464</v>
      </c>
    </row>
    <row r="20" spans="1:16" x14ac:dyDescent="0.35">
      <c r="B20" s="2" t="s">
        <v>13</v>
      </c>
      <c r="C20" s="7">
        <v>12664</v>
      </c>
      <c r="D20" s="9"/>
      <c r="E20" s="12" t="s">
        <v>13</v>
      </c>
      <c r="F20">
        <v>57</v>
      </c>
      <c r="G20" s="7">
        <f t="shared" si="0"/>
        <v>2508</v>
      </c>
    </row>
    <row r="21" spans="1:16" x14ac:dyDescent="0.35">
      <c r="B21" s="2" t="s">
        <v>67</v>
      </c>
      <c r="C21" s="7">
        <v>6081</v>
      </c>
      <c r="D21" s="10"/>
      <c r="E21" s="14" t="s">
        <v>67</v>
      </c>
      <c r="F21">
        <v>28</v>
      </c>
      <c r="G21" s="7">
        <f t="shared" si="0"/>
        <v>1232</v>
      </c>
      <c r="I21" s="8" t="s">
        <v>910</v>
      </c>
    </row>
    <row r="22" spans="1:16" x14ac:dyDescent="0.35">
      <c r="B22" s="8" t="s">
        <v>907</v>
      </c>
      <c r="C22" s="33">
        <f>AVERAGE(C17:C21)</f>
        <v>12420.8</v>
      </c>
      <c r="D22" s="6"/>
      <c r="E22" s="6"/>
      <c r="F22" s="6"/>
      <c r="G22" s="33">
        <f>AVERAGE(G17:G21)</f>
        <v>2182.4</v>
      </c>
      <c r="H22" s="6"/>
      <c r="I22" s="34">
        <f>SUM(C22,G22)</f>
        <v>14603.199999999999</v>
      </c>
    </row>
    <row r="23" spans="1:16" x14ac:dyDescent="0.35">
      <c r="D23" s="9"/>
      <c r="E23" s="15" t="s">
        <v>908</v>
      </c>
    </row>
    <row r="25" spans="1:16" x14ac:dyDescent="0.35">
      <c r="A25" s="5" t="s">
        <v>899</v>
      </c>
    </row>
    <row r="26" spans="1:16" x14ac:dyDescent="0.35">
      <c r="B26" s="1" t="s">
        <v>897</v>
      </c>
      <c r="C26" t="s">
        <v>0</v>
      </c>
      <c r="J26" s="1" t="s">
        <v>898</v>
      </c>
      <c r="K26" t="s">
        <v>0</v>
      </c>
    </row>
    <row r="28" spans="1:16" x14ac:dyDescent="0.35">
      <c r="B28" s="1" t="s">
        <v>922</v>
      </c>
      <c r="C28" s="1" t="s">
        <v>7</v>
      </c>
      <c r="H28" s="17"/>
      <c r="J28" s="1" t="s">
        <v>922</v>
      </c>
      <c r="K28" s="1" t="s">
        <v>7</v>
      </c>
      <c r="P28" s="17"/>
    </row>
    <row r="29" spans="1:16" x14ac:dyDescent="0.35">
      <c r="B29" s="1" t="s">
        <v>912</v>
      </c>
      <c r="C29" t="s">
        <v>30</v>
      </c>
      <c r="D29" t="s">
        <v>19</v>
      </c>
      <c r="E29" t="s">
        <v>24</v>
      </c>
      <c r="F29" t="s">
        <v>13</v>
      </c>
      <c r="G29" s="18" t="s">
        <v>67</v>
      </c>
      <c r="H29" s="19" t="s">
        <v>911</v>
      </c>
      <c r="J29" s="1" t="s">
        <v>912</v>
      </c>
      <c r="K29" t="s">
        <v>30</v>
      </c>
      <c r="L29" t="s">
        <v>19</v>
      </c>
      <c r="M29" t="s">
        <v>24</v>
      </c>
      <c r="N29" t="s">
        <v>13</v>
      </c>
      <c r="O29" t="s">
        <v>67</v>
      </c>
      <c r="P29" s="19" t="s">
        <v>911</v>
      </c>
    </row>
    <row r="30" spans="1:16" x14ac:dyDescent="0.35">
      <c r="B30" s="2" t="s">
        <v>33</v>
      </c>
      <c r="C30">
        <v>6</v>
      </c>
      <c r="D30">
        <v>8</v>
      </c>
      <c r="E30">
        <v>12</v>
      </c>
      <c r="F30">
        <v>7</v>
      </c>
      <c r="G30">
        <v>5</v>
      </c>
      <c r="H30">
        <f>AVERAGE(C30:G30)</f>
        <v>7.6</v>
      </c>
      <c r="J30" s="2" t="s">
        <v>33</v>
      </c>
      <c r="K30">
        <v>8</v>
      </c>
      <c r="L30">
        <v>5</v>
      </c>
      <c r="M30">
        <v>4</v>
      </c>
      <c r="N30">
        <v>3</v>
      </c>
      <c r="O30">
        <v>1</v>
      </c>
      <c r="P30">
        <f>AVERAGE(K30:O30)</f>
        <v>4.2</v>
      </c>
    </row>
    <row r="31" spans="1:16" x14ac:dyDescent="0.35">
      <c r="B31" s="2" t="s">
        <v>28</v>
      </c>
      <c r="C31">
        <v>9</v>
      </c>
      <c r="D31">
        <v>8</v>
      </c>
      <c r="E31">
        <v>2</v>
      </c>
      <c r="F31">
        <v>9</v>
      </c>
      <c r="G31">
        <v>1</v>
      </c>
      <c r="H31">
        <f t="shared" ref="H31:H37" si="1">AVERAGE(C31:G31)</f>
        <v>5.8</v>
      </c>
      <c r="J31" s="2" t="s">
        <v>28</v>
      </c>
      <c r="K31">
        <v>3</v>
      </c>
      <c r="L31">
        <v>5</v>
      </c>
      <c r="M31">
        <v>5</v>
      </c>
      <c r="N31">
        <v>8</v>
      </c>
      <c r="O31">
        <v>0</v>
      </c>
      <c r="P31">
        <f t="shared" ref="P31:P37" si="2">AVERAGE(K31:O31)</f>
        <v>4.2</v>
      </c>
    </row>
    <row r="32" spans="1:16" x14ac:dyDescent="0.35">
      <c r="B32" s="2" t="s">
        <v>40</v>
      </c>
      <c r="C32">
        <v>11</v>
      </c>
      <c r="D32">
        <v>8</v>
      </c>
      <c r="E32">
        <v>10</v>
      </c>
      <c r="F32">
        <v>7</v>
      </c>
      <c r="G32">
        <v>2</v>
      </c>
      <c r="H32">
        <f t="shared" si="1"/>
        <v>7.6</v>
      </c>
      <c r="J32" s="2" t="s">
        <v>40</v>
      </c>
      <c r="K32">
        <v>9</v>
      </c>
      <c r="L32">
        <v>7</v>
      </c>
      <c r="M32">
        <v>4</v>
      </c>
      <c r="N32">
        <v>2</v>
      </c>
      <c r="O32">
        <v>2</v>
      </c>
      <c r="P32">
        <f t="shared" si="2"/>
        <v>4.8</v>
      </c>
    </row>
    <row r="33" spans="1:16" x14ac:dyDescent="0.35">
      <c r="B33" s="2" t="s">
        <v>55</v>
      </c>
      <c r="C33">
        <v>4</v>
      </c>
      <c r="D33">
        <v>6</v>
      </c>
      <c r="E33">
        <v>7</v>
      </c>
      <c r="F33">
        <v>7</v>
      </c>
      <c r="G33">
        <v>4</v>
      </c>
      <c r="H33">
        <f t="shared" si="1"/>
        <v>5.6</v>
      </c>
      <c r="J33" s="2" t="s">
        <v>55</v>
      </c>
      <c r="K33">
        <v>3</v>
      </c>
      <c r="L33">
        <v>3</v>
      </c>
      <c r="M33">
        <v>7</v>
      </c>
      <c r="N33">
        <v>6</v>
      </c>
      <c r="O33">
        <v>2</v>
      </c>
      <c r="P33">
        <f t="shared" si="2"/>
        <v>4.2</v>
      </c>
    </row>
    <row r="34" spans="1:16" x14ac:dyDescent="0.35">
      <c r="B34" s="2" t="s">
        <v>126</v>
      </c>
      <c r="C34">
        <v>7</v>
      </c>
      <c r="D34">
        <v>7</v>
      </c>
      <c r="E34">
        <v>2</v>
      </c>
      <c r="F34">
        <v>4</v>
      </c>
      <c r="G34">
        <v>4</v>
      </c>
      <c r="H34">
        <f t="shared" si="1"/>
        <v>4.8</v>
      </c>
      <c r="J34" s="2" t="s">
        <v>126</v>
      </c>
      <c r="K34">
        <v>5</v>
      </c>
      <c r="L34">
        <v>4</v>
      </c>
      <c r="M34">
        <v>3</v>
      </c>
      <c r="N34">
        <v>3</v>
      </c>
      <c r="O34">
        <v>5</v>
      </c>
      <c r="P34">
        <f t="shared" si="2"/>
        <v>4</v>
      </c>
    </row>
    <row r="35" spans="1:16" x14ac:dyDescent="0.35">
      <c r="B35" s="2" t="s">
        <v>44</v>
      </c>
      <c r="C35">
        <v>6</v>
      </c>
      <c r="D35">
        <v>7</v>
      </c>
      <c r="E35">
        <v>10</v>
      </c>
      <c r="F35">
        <v>8</v>
      </c>
      <c r="G35">
        <v>4</v>
      </c>
      <c r="H35">
        <f t="shared" si="1"/>
        <v>7</v>
      </c>
      <c r="J35" s="2" t="s">
        <v>44</v>
      </c>
      <c r="K35">
        <v>7</v>
      </c>
      <c r="L35">
        <v>4</v>
      </c>
      <c r="M35">
        <v>7</v>
      </c>
      <c r="N35">
        <v>4</v>
      </c>
      <c r="O35">
        <v>4</v>
      </c>
      <c r="P35">
        <f t="shared" si="2"/>
        <v>5.2</v>
      </c>
    </row>
    <row r="36" spans="1:16" x14ac:dyDescent="0.35">
      <c r="B36" s="2" t="s">
        <v>51</v>
      </c>
      <c r="C36">
        <v>0</v>
      </c>
      <c r="D36">
        <v>9</v>
      </c>
      <c r="E36">
        <v>8</v>
      </c>
      <c r="F36">
        <v>11</v>
      </c>
      <c r="G36">
        <v>4</v>
      </c>
      <c r="H36">
        <f t="shared" si="1"/>
        <v>6.4</v>
      </c>
      <c r="J36" s="2" t="s">
        <v>51</v>
      </c>
      <c r="K36">
        <v>3</v>
      </c>
      <c r="L36">
        <v>5</v>
      </c>
      <c r="M36">
        <v>3</v>
      </c>
      <c r="N36">
        <v>7</v>
      </c>
      <c r="O36">
        <v>1</v>
      </c>
      <c r="P36">
        <f t="shared" si="2"/>
        <v>3.8</v>
      </c>
    </row>
    <row r="37" spans="1:16" x14ac:dyDescent="0.35">
      <c r="B37" s="2" t="s">
        <v>58</v>
      </c>
      <c r="C37">
        <v>5</v>
      </c>
      <c r="D37">
        <v>6</v>
      </c>
      <c r="E37">
        <v>5</v>
      </c>
      <c r="F37">
        <v>4</v>
      </c>
      <c r="G37">
        <v>4</v>
      </c>
      <c r="H37">
        <f t="shared" si="1"/>
        <v>4.8</v>
      </c>
      <c r="J37" s="2" t="s">
        <v>58</v>
      </c>
      <c r="K37">
        <v>5</v>
      </c>
      <c r="L37">
        <v>1</v>
      </c>
      <c r="M37">
        <v>8</v>
      </c>
      <c r="N37">
        <v>4</v>
      </c>
      <c r="O37">
        <v>1</v>
      </c>
      <c r="P37">
        <f t="shared" si="2"/>
        <v>3.8</v>
      </c>
    </row>
    <row r="39" spans="1:16" x14ac:dyDescent="0.35">
      <c r="A39" s="5" t="s">
        <v>913</v>
      </c>
    </row>
    <row r="40" spans="1:16" x14ac:dyDescent="0.35">
      <c r="B40" s="20" t="s">
        <v>915</v>
      </c>
    </row>
    <row r="41" spans="1:16" x14ac:dyDescent="0.35">
      <c r="B41" s="1" t="s">
        <v>897</v>
      </c>
      <c r="C41" t="s">
        <v>0</v>
      </c>
      <c r="J41" s="1" t="s">
        <v>898</v>
      </c>
      <c r="K41" t="s">
        <v>0</v>
      </c>
    </row>
    <row r="42" spans="1:16" x14ac:dyDescent="0.35">
      <c r="B42" s="1" t="s">
        <v>12</v>
      </c>
      <c r="C42" t="s">
        <v>40</v>
      </c>
      <c r="J42" s="1" t="s">
        <v>12</v>
      </c>
      <c r="K42" t="s">
        <v>40</v>
      </c>
    </row>
    <row r="44" spans="1:16" x14ac:dyDescent="0.35">
      <c r="B44" s="1" t="s">
        <v>922</v>
      </c>
      <c r="C44" s="1" t="s">
        <v>7</v>
      </c>
      <c r="H44" s="17"/>
      <c r="J44" s="1" t="s">
        <v>922</v>
      </c>
      <c r="K44" s="1" t="s">
        <v>7</v>
      </c>
      <c r="P44" s="17"/>
    </row>
    <row r="45" spans="1:16" x14ac:dyDescent="0.35">
      <c r="B45" s="1" t="s">
        <v>914</v>
      </c>
      <c r="C45" t="s">
        <v>30</v>
      </c>
      <c r="D45" t="s">
        <v>19</v>
      </c>
      <c r="E45" t="s">
        <v>24</v>
      </c>
      <c r="F45" t="s">
        <v>13</v>
      </c>
      <c r="G45" t="s">
        <v>67</v>
      </c>
      <c r="H45" s="19" t="s">
        <v>911</v>
      </c>
      <c r="J45" s="1" t="s">
        <v>914</v>
      </c>
      <c r="K45" t="s">
        <v>30</v>
      </c>
      <c r="L45" t="s">
        <v>19</v>
      </c>
      <c r="M45" t="s">
        <v>24</v>
      </c>
      <c r="N45" t="s">
        <v>13</v>
      </c>
      <c r="O45" t="s">
        <v>67</v>
      </c>
      <c r="P45" s="19" t="s">
        <v>911</v>
      </c>
    </row>
    <row r="46" spans="1:16" x14ac:dyDescent="0.35">
      <c r="B46" s="2" t="s">
        <v>20</v>
      </c>
      <c r="C46">
        <v>0</v>
      </c>
      <c r="D46">
        <v>1</v>
      </c>
      <c r="E46">
        <v>0</v>
      </c>
      <c r="F46">
        <v>0</v>
      </c>
      <c r="G46">
        <v>0</v>
      </c>
      <c r="H46">
        <f t="shared" ref="H46:H55" si="3">AVERAGE(C46:G46)</f>
        <v>0.2</v>
      </c>
      <c r="J46" s="2" t="s">
        <v>20</v>
      </c>
      <c r="K46">
        <v>0</v>
      </c>
      <c r="L46">
        <v>1</v>
      </c>
      <c r="M46">
        <v>1</v>
      </c>
      <c r="N46">
        <v>0</v>
      </c>
      <c r="O46">
        <v>0</v>
      </c>
      <c r="P46">
        <f>AVERAGE(K46:O46)</f>
        <v>0.4</v>
      </c>
    </row>
    <row r="47" spans="1:16" x14ac:dyDescent="0.35">
      <c r="B47" s="2" t="s">
        <v>70</v>
      </c>
      <c r="C47">
        <v>1</v>
      </c>
      <c r="D47">
        <v>0</v>
      </c>
      <c r="E47">
        <v>1</v>
      </c>
      <c r="F47">
        <v>1</v>
      </c>
      <c r="G47">
        <v>0</v>
      </c>
      <c r="H47">
        <f t="shared" si="3"/>
        <v>0.6</v>
      </c>
      <c r="J47" s="2" t="s">
        <v>70</v>
      </c>
      <c r="K47">
        <v>2</v>
      </c>
      <c r="L47">
        <v>1</v>
      </c>
      <c r="M47">
        <v>0</v>
      </c>
      <c r="N47">
        <v>0</v>
      </c>
      <c r="O47">
        <v>1</v>
      </c>
      <c r="P47">
        <f t="shared" ref="P47:P55" si="4">AVERAGE(K47:O47)</f>
        <v>0.8</v>
      </c>
    </row>
    <row r="48" spans="1:16" x14ac:dyDescent="0.35">
      <c r="B48" s="2" t="s">
        <v>31</v>
      </c>
      <c r="C48">
        <v>2</v>
      </c>
      <c r="D48">
        <v>4</v>
      </c>
      <c r="E48">
        <v>0</v>
      </c>
      <c r="F48">
        <v>1</v>
      </c>
      <c r="G48">
        <v>0</v>
      </c>
      <c r="H48">
        <f t="shared" si="3"/>
        <v>1.4</v>
      </c>
      <c r="J48" s="2" t="s">
        <v>31</v>
      </c>
      <c r="K48">
        <v>1</v>
      </c>
      <c r="L48">
        <v>1</v>
      </c>
      <c r="M48">
        <v>0</v>
      </c>
      <c r="N48">
        <v>0</v>
      </c>
      <c r="O48">
        <v>1</v>
      </c>
      <c r="P48">
        <f t="shared" si="4"/>
        <v>0.6</v>
      </c>
    </row>
    <row r="49" spans="1:16" x14ac:dyDescent="0.35">
      <c r="B49" s="2" t="s">
        <v>38</v>
      </c>
      <c r="C49">
        <v>4</v>
      </c>
      <c r="D49">
        <v>3</v>
      </c>
      <c r="E49">
        <v>1</v>
      </c>
      <c r="F49">
        <v>0</v>
      </c>
      <c r="G49">
        <v>0</v>
      </c>
      <c r="H49">
        <f t="shared" si="3"/>
        <v>1.6</v>
      </c>
      <c r="J49" s="2" t="s">
        <v>38</v>
      </c>
      <c r="K49">
        <v>2</v>
      </c>
      <c r="L49">
        <v>3</v>
      </c>
      <c r="M49">
        <v>0</v>
      </c>
      <c r="N49">
        <v>0</v>
      </c>
      <c r="O49">
        <v>0</v>
      </c>
      <c r="P49">
        <f t="shared" si="4"/>
        <v>1</v>
      </c>
    </row>
    <row r="50" spans="1:16" x14ac:dyDescent="0.35">
      <c r="B50" s="2" t="s">
        <v>80</v>
      </c>
      <c r="C50">
        <v>0</v>
      </c>
      <c r="D50">
        <v>0</v>
      </c>
      <c r="E50">
        <v>1</v>
      </c>
      <c r="F50">
        <v>0</v>
      </c>
      <c r="G50">
        <v>0</v>
      </c>
      <c r="H50">
        <f t="shared" si="3"/>
        <v>0.2</v>
      </c>
      <c r="J50" s="2" t="s">
        <v>80</v>
      </c>
      <c r="K50">
        <v>1</v>
      </c>
      <c r="L50">
        <v>0</v>
      </c>
      <c r="M50">
        <v>0</v>
      </c>
      <c r="N50">
        <v>0</v>
      </c>
      <c r="O50">
        <v>0</v>
      </c>
      <c r="P50">
        <f t="shared" si="4"/>
        <v>0.2</v>
      </c>
    </row>
    <row r="51" spans="1:16" x14ac:dyDescent="0.35">
      <c r="B51" s="2" t="s">
        <v>53</v>
      </c>
      <c r="C51">
        <v>0</v>
      </c>
      <c r="D51">
        <v>0</v>
      </c>
      <c r="E51">
        <v>0</v>
      </c>
      <c r="F51">
        <v>1</v>
      </c>
      <c r="G51">
        <v>0</v>
      </c>
      <c r="H51">
        <f t="shared" si="3"/>
        <v>0.2</v>
      </c>
      <c r="J51" s="2" t="s">
        <v>53</v>
      </c>
      <c r="K51">
        <v>1</v>
      </c>
      <c r="L51">
        <v>1</v>
      </c>
      <c r="M51">
        <v>0</v>
      </c>
      <c r="N51">
        <v>1</v>
      </c>
      <c r="O51">
        <v>0</v>
      </c>
      <c r="P51">
        <f t="shared" si="4"/>
        <v>0.6</v>
      </c>
    </row>
    <row r="52" spans="1:16" x14ac:dyDescent="0.35">
      <c r="B52" s="2" t="s">
        <v>14</v>
      </c>
      <c r="C52">
        <v>0</v>
      </c>
      <c r="D52">
        <v>0</v>
      </c>
      <c r="E52">
        <v>0</v>
      </c>
      <c r="F52">
        <v>1</v>
      </c>
      <c r="G52">
        <v>2</v>
      </c>
      <c r="H52">
        <f t="shared" si="3"/>
        <v>0.6</v>
      </c>
      <c r="J52" s="2" t="s">
        <v>14</v>
      </c>
      <c r="K52">
        <v>1</v>
      </c>
      <c r="L52">
        <v>0</v>
      </c>
      <c r="M52">
        <v>0</v>
      </c>
      <c r="N52">
        <v>0</v>
      </c>
      <c r="O52">
        <v>0</v>
      </c>
      <c r="P52">
        <f t="shared" si="4"/>
        <v>0.2</v>
      </c>
    </row>
    <row r="53" spans="1:16" x14ac:dyDescent="0.35">
      <c r="B53" s="2" t="s">
        <v>99</v>
      </c>
      <c r="C53">
        <v>2</v>
      </c>
      <c r="D53">
        <v>0</v>
      </c>
      <c r="E53">
        <v>0</v>
      </c>
      <c r="F53">
        <v>2</v>
      </c>
      <c r="G53">
        <v>0</v>
      </c>
      <c r="H53">
        <f t="shared" si="3"/>
        <v>0.8</v>
      </c>
      <c r="J53" s="2" t="s">
        <v>99</v>
      </c>
      <c r="K53">
        <v>0</v>
      </c>
      <c r="L53">
        <v>0</v>
      </c>
      <c r="M53">
        <v>1</v>
      </c>
      <c r="N53">
        <v>1</v>
      </c>
      <c r="O53">
        <v>0</v>
      </c>
      <c r="P53">
        <f t="shared" si="4"/>
        <v>0.4</v>
      </c>
    </row>
    <row r="54" spans="1:16" x14ac:dyDescent="0.35">
      <c r="A54" s="5"/>
      <c r="B54" s="2" t="s">
        <v>56</v>
      </c>
      <c r="C54">
        <v>1</v>
      </c>
      <c r="D54">
        <v>0</v>
      </c>
      <c r="E54">
        <v>3</v>
      </c>
      <c r="F54">
        <v>0</v>
      </c>
      <c r="G54">
        <v>0</v>
      </c>
      <c r="H54">
        <f t="shared" si="3"/>
        <v>0.8</v>
      </c>
      <c r="J54" s="2" t="s">
        <v>56</v>
      </c>
      <c r="K54">
        <v>0</v>
      </c>
      <c r="L54">
        <v>0</v>
      </c>
      <c r="M54">
        <v>1</v>
      </c>
      <c r="N54">
        <v>0</v>
      </c>
      <c r="O54">
        <v>0</v>
      </c>
      <c r="P54">
        <f t="shared" si="4"/>
        <v>0.2</v>
      </c>
    </row>
    <row r="55" spans="1:16" x14ac:dyDescent="0.35">
      <c r="B55" s="2" t="s">
        <v>35</v>
      </c>
      <c r="C55">
        <v>1</v>
      </c>
      <c r="D55">
        <v>0</v>
      </c>
      <c r="E55">
        <v>4</v>
      </c>
      <c r="F55">
        <v>1</v>
      </c>
      <c r="G55">
        <v>0</v>
      </c>
      <c r="H55">
        <f t="shared" si="3"/>
        <v>1.2</v>
      </c>
      <c r="J55" s="2" t="s">
        <v>35</v>
      </c>
      <c r="K55">
        <v>1</v>
      </c>
      <c r="L55">
        <v>0</v>
      </c>
      <c r="M55">
        <v>1</v>
      </c>
      <c r="N55">
        <v>0</v>
      </c>
      <c r="O55">
        <v>0</v>
      </c>
      <c r="P55">
        <f t="shared" si="4"/>
        <v>0.4</v>
      </c>
    </row>
    <row r="57" spans="1:16" x14ac:dyDescent="0.35">
      <c r="B57" s="20" t="s">
        <v>916</v>
      </c>
    </row>
    <row r="58" spans="1:16" x14ac:dyDescent="0.35">
      <c r="B58" s="1" t="s">
        <v>897</v>
      </c>
      <c r="C58" t="s">
        <v>0</v>
      </c>
      <c r="G58" s="1" t="s">
        <v>898</v>
      </c>
      <c r="H58" t="s">
        <v>0</v>
      </c>
    </row>
    <row r="59" spans="1:16" x14ac:dyDescent="0.35">
      <c r="B59" s="1" t="s">
        <v>12</v>
      </c>
      <c r="C59" t="s">
        <v>40</v>
      </c>
      <c r="G59" s="1" t="s">
        <v>12</v>
      </c>
      <c r="H59" t="s">
        <v>40</v>
      </c>
    </row>
    <row r="61" spans="1:16" x14ac:dyDescent="0.35">
      <c r="B61" s="1" t="s">
        <v>922</v>
      </c>
      <c r="C61" s="1" t="s">
        <v>7</v>
      </c>
      <c r="G61" s="1" t="s">
        <v>922</v>
      </c>
      <c r="H61" s="1" t="s">
        <v>7</v>
      </c>
      <c r="M61" s="24"/>
      <c r="N61" s="22"/>
    </row>
    <row r="62" spans="1:16" x14ac:dyDescent="0.35">
      <c r="B62" s="1" t="s">
        <v>917</v>
      </c>
      <c r="C62" t="s">
        <v>30</v>
      </c>
      <c r="D62" t="s">
        <v>24</v>
      </c>
      <c r="E62" t="s">
        <v>13</v>
      </c>
      <c r="G62" s="1" t="s">
        <v>917</v>
      </c>
      <c r="H62" t="s">
        <v>30</v>
      </c>
      <c r="I62" t="s">
        <v>13</v>
      </c>
      <c r="L62" s="25"/>
      <c r="M62" s="21"/>
      <c r="N62" s="23"/>
    </row>
    <row r="63" spans="1:16" x14ac:dyDescent="0.35">
      <c r="B63" s="2" t="s">
        <v>231</v>
      </c>
      <c r="C63">
        <v>0</v>
      </c>
      <c r="D63">
        <v>0</v>
      </c>
      <c r="E63">
        <v>1</v>
      </c>
      <c r="G63" s="2" t="s">
        <v>231</v>
      </c>
      <c r="H63">
        <v>0</v>
      </c>
      <c r="I63">
        <v>1</v>
      </c>
      <c r="M63" s="9"/>
    </row>
    <row r="64" spans="1:16" x14ac:dyDescent="0.35">
      <c r="B64" s="2" t="s">
        <v>72</v>
      </c>
      <c r="C64">
        <v>1</v>
      </c>
      <c r="D64">
        <v>0</v>
      </c>
      <c r="E64">
        <v>0</v>
      </c>
      <c r="G64" s="2" t="s">
        <v>72</v>
      </c>
      <c r="H64">
        <v>1</v>
      </c>
      <c r="I64">
        <v>0</v>
      </c>
      <c r="M64" s="26"/>
    </row>
    <row r="65" spans="1:16" x14ac:dyDescent="0.35">
      <c r="B65" s="2" t="s">
        <v>215</v>
      </c>
      <c r="C65">
        <v>0</v>
      </c>
      <c r="D65">
        <v>1</v>
      </c>
      <c r="E65">
        <v>0</v>
      </c>
      <c r="G65" s="2" t="s">
        <v>215</v>
      </c>
      <c r="H65">
        <v>1</v>
      </c>
      <c r="I65">
        <v>0</v>
      </c>
    </row>
    <row r="67" spans="1:16" x14ac:dyDescent="0.35">
      <c r="A67" s="5" t="s">
        <v>918</v>
      </c>
    </row>
    <row r="68" spans="1:16" x14ac:dyDescent="0.35">
      <c r="B68" s="1" t="s">
        <v>897</v>
      </c>
      <c r="C68" t="s">
        <v>0</v>
      </c>
      <c r="J68" s="1" t="s">
        <v>898</v>
      </c>
      <c r="K68" t="s">
        <v>0</v>
      </c>
    </row>
    <row r="69" spans="1:16" x14ac:dyDescent="0.35">
      <c r="B69" s="1" t="s">
        <v>12</v>
      </c>
      <c r="C69" t="s">
        <v>33</v>
      </c>
      <c r="J69" s="1" t="s">
        <v>12</v>
      </c>
      <c r="K69" t="s">
        <v>33</v>
      </c>
    </row>
    <row r="71" spans="1:16" x14ac:dyDescent="0.35">
      <c r="B71" s="1" t="s">
        <v>922</v>
      </c>
      <c r="C71" s="1" t="s">
        <v>7</v>
      </c>
      <c r="H71" s="17"/>
      <c r="J71" s="1" t="s">
        <v>922</v>
      </c>
      <c r="K71" s="1" t="s">
        <v>7</v>
      </c>
      <c r="P71" s="17"/>
    </row>
    <row r="72" spans="1:16" x14ac:dyDescent="0.35">
      <c r="B72" s="1" t="s">
        <v>11</v>
      </c>
      <c r="C72" t="s">
        <v>30</v>
      </c>
      <c r="D72" t="s">
        <v>19</v>
      </c>
      <c r="E72" t="s">
        <v>24</v>
      </c>
      <c r="F72" t="s">
        <v>13</v>
      </c>
      <c r="G72" t="s">
        <v>67</v>
      </c>
      <c r="H72" s="19" t="s">
        <v>911</v>
      </c>
      <c r="J72" s="1" t="s">
        <v>11</v>
      </c>
      <c r="K72" t="s">
        <v>30</v>
      </c>
      <c r="L72" t="s">
        <v>19</v>
      </c>
      <c r="M72" t="s">
        <v>24</v>
      </c>
      <c r="N72" t="s">
        <v>13</v>
      </c>
      <c r="O72" t="s">
        <v>67</v>
      </c>
      <c r="P72" s="19" t="s">
        <v>911</v>
      </c>
    </row>
    <row r="73" spans="1:16" x14ac:dyDescent="0.35">
      <c r="B73" s="2" t="s">
        <v>26</v>
      </c>
      <c r="C73">
        <v>1</v>
      </c>
      <c r="D73">
        <v>4</v>
      </c>
      <c r="E73">
        <v>3</v>
      </c>
      <c r="F73">
        <v>2</v>
      </c>
      <c r="G73">
        <v>2</v>
      </c>
      <c r="H73">
        <f>AVERAGE(C73:G73)</f>
        <v>2.4</v>
      </c>
      <c r="J73" s="2" t="s">
        <v>26</v>
      </c>
      <c r="K73">
        <v>3</v>
      </c>
      <c r="L73">
        <v>0</v>
      </c>
      <c r="M73">
        <v>1</v>
      </c>
      <c r="N73">
        <v>1</v>
      </c>
      <c r="O73">
        <v>0</v>
      </c>
      <c r="P73">
        <f>AVERAGE(K73:O73)</f>
        <v>1</v>
      </c>
    </row>
    <row r="74" spans="1:16" x14ac:dyDescent="0.35">
      <c r="B74" s="2" t="s">
        <v>43</v>
      </c>
      <c r="C74">
        <v>1</v>
      </c>
      <c r="D74">
        <v>1</v>
      </c>
      <c r="E74">
        <v>1</v>
      </c>
      <c r="F74">
        <v>2</v>
      </c>
      <c r="G74">
        <v>2</v>
      </c>
      <c r="H74">
        <f t="shared" ref="H74:H75" si="5">AVERAGE(C74:G74)</f>
        <v>1.4</v>
      </c>
      <c r="J74" s="2" t="s">
        <v>43</v>
      </c>
      <c r="K74">
        <v>2</v>
      </c>
      <c r="L74">
        <v>1</v>
      </c>
      <c r="M74">
        <v>0</v>
      </c>
      <c r="N74">
        <v>1</v>
      </c>
      <c r="O74">
        <v>0</v>
      </c>
      <c r="P74">
        <f t="shared" ref="P74:P75" si="6">AVERAGE(K74:O74)</f>
        <v>0.8</v>
      </c>
    </row>
    <row r="75" spans="1:16" x14ac:dyDescent="0.35">
      <c r="B75" s="2" t="s">
        <v>22</v>
      </c>
      <c r="C75">
        <v>4</v>
      </c>
      <c r="D75">
        <v>3</v>
      </c>
      <c r="E75">
        <v>8</v>
      </c>
      <c r="F75">
        <v>3</v>
      </c>
      <c r="G75">
        <v>1</v>
      </c>
      <c r="H75">
        <f t="shared" si="5"/>
        <v>3.8</v>
      </c>
      <c r="J75" s="2" t="s">
        <v>22</v>
      </c>
      <c r="K75">
        <v>3</v>
      </c>
      <c r="L75">
        <v>4</v>
      </c>
      <c r="M75">
        <v>3</v>
      </c>
      <c r="N75">
        <v>1</v>
      </c>
      <c r="O75">
        <v>1</v>
      </c>
      <c r="P75">
        <f t="shared" si="6"/>
        <v>2.4</v>
      </c>
    </row>
    <row r="77" spans="1:16" x14ac:dyDescent="0.35">
      <c r="B77" s="1" t="s">
        <v>897</v>
      </c>
      <c r="C77" t="s">
        <v>0</v>
      </c>
      <c r="J77" s="1" t="s">
        <v>898</v>
      </c>
      <c r="K77" t="s">
        <v>0</v>
      </c>
    </row>
    <row r="78" spans="1:16" x14ac:dyDescent="0.35">
      <c r="B78" s="1" t="s">
        <v>12</v>
      </c>
      <c r="C78" t="s">
        <v>44</v>
      </c>
      <c r="J78" s="1" t="s">
        <v>12</v>
      </c>
      <c r="K78" t="s">
        <v>44</v>
      </c>
    </row>
    <row r="80" spans="1:16" x14ac:dyDescent="0.35">
      <c r="B80" s="1" t="s">
        <v>922</v>
      </c>
      <c r="C80" s="1" t="s">
        <v>7</v>
      </c>
      <c r="H80" s="17"/>
      <c r="J80" s="1" t="s">
        <v>922</v>
      </c>
      <c r="K80" s="1" t="s">
        <v>7</v>
      </c>
      <c r="P80" s="17"/>
    </row>
    <row r="81" spans="2:16" x14ac:dyDescent="0.35">
      <c r="B81" s="1" t="s">
        <v>11</v>
      </c>
      <c r="C81" t="s">
        <v>30</v>
      </c>
      <c r="D81" t="s">
        <v>19</v>
      </c>
      <c r="E81" t="s">
        <v>24</v>
      </c>
      <c r="F81" t="s">
        <v>13</v>
      </c>
      <c r="G81" t="s">
        <v>67</v>
      </c>
      <c r="H81" s="19" t="s">
        <v>911</v>
      </c>
      <c r="J81" s="1" t="s">
        <v>11</v>
      </c>
      <c r="K81" t="s">
        <v>30</v>
      </c>
      <c r="L81" t="s">
        <v>19</v>
      </c>
      <c r="M81" t="s">
        <v>24</v>
      </c>
      <c r="N81" t="s">
        <v>13</v>
      </c>
      <c r="O81" t="s">
        <v>67</v>
      </c>
      <c r="P81" s="19" t="s">
        <v>911</v>
      </c>
    </row>
    <row r="82" spans="2:16" x14ac:dyDescent="0.35">
      <c r="B82" s="2" t="s">
        <v>26</v>
      </c>
      <c r="C82">
        <v>2</v>
      </c>
      <c r="D82">
        <v>2</v>
      </c>
      <c r="E82">
        <v>2</v>
      </c>
      <c r="F82">
        <v>2</v>
      </c>
      <c r="G82">
        <v>3</v>
      </c>
      <c r="H82">
        <f>AVERAGE(C82:G82)</f>
        <v>2.2000000000000002</v>
      </c>
      <c r="J82" s="2" t="s">
        <v>26</v>
      </c>
      <c r="K82">
        <v>2</v>
      </c>
      <c r="L82">
        <v>1</v>
      </c>
      <c r="M82">
        <v>2</v>
      </c>
      <c r="N82">
        <v>0</v>
      </c>
      <c r="O82">
        <v>2</v>
      </c>
      <c r="P82">
        <f>AVERAGE(K82:O82)</f>
        <v>1.4</v>
      </c>
    </row>
    <row r="83" spans="2:16" x14ac:dyDescent="0.35">
      <c r="B83" s="2" t="s">
        <v>43</v>
      </c>
      <c r="C83">
        <v>3</v>
      </c>
      <c r="D83">
        <v>4</v>
      </c>
      <c r="E83">
        <v>5</v>
      </c>
      <c r="F83">
        <v>3</v>
      </c>
      <c r="G83">
        <v>1</v>
      </c>
      <c r="H83">
        <f t="shared" ref="H83:H84" si="7">AVERAGE(C83:G83)</f>
        <v>3.2</v>
      </c>
      <c r="J83" s="2" t="s">
        <v>43</v>
      </c>
      <c r="K83">
        <v>3</v>
      </c>
      <c r="L83">
        <v>2</v>
      </c>
      <c r="M83">
        <v>5</v>
      </c>
      <c r="N83">
        <v>2</v>
      </c>
      <c r="O83">
        <v>2</v>
      </c>
      <c r="P83">
        <f t="shared" ref="P83:P84" si="8">AVERAGE(K83:O83)</f>
        <v>2.8</v>
      </c>
    </row>
    <row r="84" spans="2:16" x14ac:dyDescent="0.35">
      <c r="B84" s="2" t="s">
        <v>22</v>
      </c>
      <c r="C84">
        <v>1</v>
      </c>
      <c r="D84">
        <v>1</v>
      </c>
      <c r="E84">
        <v>3</v>
      </c>
      <c r="F84">
        <v>3</v>
      </c>
      <c r="G84">
        <v>0</v>
      </c>
      <c r="H84">
        <f t="shared" si="7"/>
        <v>1.6</v>
      </c>
      <c r="J84" s="2" t="s">
        <v>22</v>
      </c>
      <c r="K84">
        <v>2</v>
      </c>
      <c r="L84">
        <v>1</v>
      </c>
      <c r="M84">
        <v>0</v>
      </c>
      <c r="N84">
        <v>2</v>
      </c>
      <c r="O84">
        <v>0</v>
      </c>
      <c r="P84">
        <f t="shared" si="8"/>
        <v>1</v>
      </c>
    </row>
    <row r="173" spans="1:1" x14ac:dyDescent="0.35">
      <c r="A173" s="5" t="s">
        <v>896</v>
      </c>
    </row>
  </sheetData>
  <conditionalFormatting sqref="H30:H3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:H5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6:H70 M63:M65 H73:H79 H82:H9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6:H100 H117:H171 H113:H11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:P3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:P5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 P76 P117:P157 P113:P114 P85:P10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8:P70 P73:P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7:P79 P82:P8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19A3-06FD-44B9-9380-71B98EEAE0DE}">
  <dimension ref="B2:H29"/>
  <sheetViews>
    <sheetView zoomScale="86" workbookViewId="0">
      <selection activeCell="B31" sqref="B31"/>
    </sheetView>
  </sheetViews>
  <sheetFormatPr defaultRowHeight="14.5" x14ac:dyDescent="0.35"/>
  <cols>
    <col min="2" max="2" width="22.25" bestFit="1" customWidth="1"/>
    <col min="3" max="3" width="13.1640625" customWidth="1"/>
    <col min="4" max="4" width="13.9140625" customWidth="1"/>
    <col min="5" max="5" width="22.25" bestFit="1" customWidth="1"/>
    <col min="6" max="6" width="14.5" customWidth="1"/>
    <col min="7" max="7" width="9.08203125" customWidth="1"/>
    <col min="8" max="8" width="10" customWidth="1"/>
  </cols>
  <sheetData>
    <row r="2" spans="2:6" x14ac:dyDescent="0.35">
      <c r="B2" s="4" t="s">
        <v>923</v>
      </c>
      <c r="E2" s="4" t="s">
        <v>924</v>
      </c>
    </row>
    <row r="3" spans="2:6" x14ac:dyDescent="0.35">
      <c r="B3" t="s">
        <v>912</v>
      </c>
      <c r="C3" s="19" t="s">
        <v>911</v>
      </c>
      <c r="E3" t="s">
        <v>912</v>
      </c>
      <c r="F3" t="s">
        <v>911</v>
      </c>
    </row>
    <row r="4" spans="2:6" x14ac:dyDescent="0.35">
      <c r="B4" t="s">
        <v>33</v>
      </c>
      <c r="C4">
        <v>7.6</v>
      </c>
      <c r="E4" t="s">
        <v>33</v>
      </c>
      <c r="F4">
        <v>4.2</v>
      </c>
    </row>
    <row r="5" spans="2:6" x14ac:dyDescent="0.35">
      <c r="B5" t="s">
        <v>28</v>
      </c>
      <c r="C5">
        <v>5.8</v>
      </c>
      <c r="E5" t="s">
        <v>28</v>
      </c>
      <c r="F5">
        <v>4.2</v>
      </c>
    </row>
    <row r="6" spans="2:6" x14ac:dyDescent="0.35">
      <c r="B6" t="s">
        <v>40</v>
      </c>
      <c r="C6">
        <v>7.6</v>
      </c>
      <c r="E6" t="s">
        <v>40</v>
      </c>
      <c r="F6">
        <v>4.8</v>
      </c>
    </row>
    <row r="7" spans="2:6" x14ac:dyDescent="0.35">
      <c r="B7" t="s">
        <v>55</v>
      </c>
      <c r="C7">
        <v>5.6</v>
      </c>
      <c r="E7" t="s">
        <v>55</v>
      </c>
      <c r="F7">
        <v>4.2</v>
      </c>
    </row>
    <row r="8" spans="2:6" x14ac:dyDescent="0.35">
      <c r="B8" t="s">
        <v>126</v>
      </c>
      <c r="C8">
        <v>4.8</v>
      </c>
      <c r="E8" t="s">
        <v>126</v>
      </c>
      <c r="F8">
        <v>4</v>
      </c>
    </row>
    <row r="9" spans="2:6" x14ac:dyDescent="0.35">
      <c r="B9" t="s">
        <v>44</v>
      </c>
      <c r="C9">
        <v>7</v>
      </c>
      <c r="E9" t="s">
        <v>44</v>
      </c>
      <c r="F9">
        <v>5.2</v>
      </c>
    </row>
    <row r="10" spans="2:6" x14ac:dyDescent="0.35">
      <c r="B10" t="s">
        <v>51</v>
      </c>
      <c r="C10">
        <v>6.4</v>
      </c>
      <c r="E10" t="s">
        <v>51</v>
      </c>
      <c r="F10">
        <v>3.8</v>
      </c>
    </row>
    <row r="11" spans="2:6" x14ac:dyDescent="0.35">
      <c r="B11" t="s">
        <v>58</v>
      </c>
      <c r="C11">
        <v>4.8</v>
      </c>
      <c r="E11" t="s">
        <v>58</v>
      </c>
      <c r="F11">
        <v>3.8</v>
      </c>
    </row>
    <row r="13" spans="2:6" x14ac:dyDescent="0.35">
      <c r="B13" s="3" t="s">
        <v>914</v>
      </c>
      <c r="C13" t="s">
        <v>925</v>
      </c>
      <c r="D13" t="s">
        <v>926</v>
      </c>
    </row>
    <row r="14" spans="2:6" x14ac:dyDescent="0.35">
      <c r="B14" s="2" t="s">
        <v>38</v>
      </c>
      <c r="C14">
        <v>1.6</v>
      </c>
      <c r="D14">
        <v>1</v>
      </c>
    </row>
    <row r="15" spans="2:6" x14ac:dyDescent="0.35">
      <c r="B15" s="2" t="s">
        <v>31</v>
      </c>
      <c r="C15">
        <v>1.4</v>
      </c>
      <c r="D15">
        <v>0.6</v>
      </c>
    </row>
    <row r="16" spans="2:6" x14ac:dyDescent="0.35">
      <c r="B16" s="2" t="s">
        <v>35</v>
      </c>
      <c r="C16">
        <v>1.2</v>
      </c>
      <c r="D16">
        <v>0.4</v>
      </c>
    </row>
    <row r="17" spans="2:8" x14ac:dyDescent="0.35">
      <c r="B17" s="2" t="s">
        <v>99</v>
      </c>
      <c r="C17">
        <v>0.8</v>
      </c>
      <c r="D17">
        <v>0.4</v>
      </c>
    </row>
    <row r="18" spans="2:8" x14ac:dyDescent="0.35">
      <c r="B18" s="2" t="s">
        <v>56</v>
      </c>
      <c r="C18">
        <v>0.8</v>
      </c>
      <c r="D18">
        <v>0.2</v>
      </c>
    </row>
    <row r="19" spans="2:8" x14ac:dyDescent="0.35">
      <c r="B19" s="2" t="s">
        <v>70</v>
      </c>
      <c r="C19">
        <v>0.6</v>
      </c>
      <c r="D19">
        <v>0.8</v>
      </c>
    </row>
    <row r="20" spans="2:8" x14ac:dyDescent="0.35">
      <c r="B20" s="2" t="s">
        <v>14</v>
      </c>
      <c r="C20">
        <v>0.6</v>
      </c>
      <c r="D20">
        <v>0.2</v>
      </c>
    </row>
    <row r="21" spans="2:8" x14ac:dyDescent="0.35">
      <c r="B21" s="2" t="s">
        <v>20</v>
      </c>
      <c r="C21">
        <v>0.2</v>
      </c>
      <c r="D21">
        <v>0.4</v>
      </c>
    </row>
    <row r="22" spans="2:8" x14ac:dyDescent="0.35">
      <c r="B22" s="2" t="s">
        <v>80</v>
      </c>
      <c r="C22">
        <v>0.2</v>
      </c>
      <c r="D22">
        <v>0.2</v>
      </c>
    </row>
    <row r="23" spans="2:8" x14ac:dyDescent="0.35">
      <c r="B23" s="2" t="s">
        <v>53</v>
      </c>
      <c r="C23">
        <v>0.2</v>
      </c>
      <c r="D23">
        <v>0.6</v>
      </c>
    </row>
    <row r="25" spans="2:8" x14ac:dyDescent="0.35">
      <c r="B25" s="4" t="s">
        <v>927</v>
      </c>
      <c r="F25" s="4" t="s">
        <v>928</v>
      </c>
    </row>
    <row r="26" spans="2:8" x14ac:dyDescent="0.35">
      <c r="B26" s="3" t="s">
        <v>11</v>
      </c>
      <c r="C26" t="s">
        <v>925</v>
      </c>
      <c r="D26" t="s">
        <v>926</v>
      </c>
      <c r="F26" s="3" t="s">
        <v>11</v>
      </c>
      <c r="G26" t="s">
        <v>925</v>
      </c>
      <c r="H26" s="19" t="s">
        <v>926</v>
      </c>
    </row>
    <row r="27" spans="2:8" x14ac:dyDescent="0.35">
      <c r="B27" s="2" t="s">
        <v>26</v>
      </c>
      <c r="C27">
        <v>2.4</v>
      </c>
      <c r="D27">
        <v>1</v>
      </c>
      <c r="F27" s="2" t="s">
        <v>26</v>
      </c>
      <c r="G27">
        <v>2.2000000000000002</v>
      </c>
      <c r="H27">
        <v>1.4</v>
      </c>
    </row>
    <row r="28" spans="2:8" x14ac:dyDescent="0.35">
      <c r="B28" s="2" t="s">
        <v>43</v>
      </c>
      <c r="C28">
        <v>1.4</v>
      </c>
      <c r="D28">
        <v>0.8</v>
      </c>
      <c r="F28" s="2" t="s">
        <v>43</v>
      </c>
      <c r="G28">
        <v>3.2</v>
      </c>
      <c r="H28">
        <v>2.8</v>
      </c>
    </row>
    <row r="29" spans="2:8" x14ac:dyDescent="0.35">
      <c r="B29" s="2" t="s">
        <v>22</v>
      </c>
      <c r="C29">
        <v>3.8</v>
      </c>
      <c r="D29">
        <v>2.4</v>
      </c>
      <c r="F29" s="2" t="s">
        <v>22</v>
      </c>
      <c r="G29">
        <v>1.6</v>
      </c>
      <c r="H29">
        <v>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91AC-ECDE-4194-895C-6011BA49B504}">
  <dimension ref="J1:J3"/>
  <sheetViews>
    <sheetView tabSelected="1" zoomScale="46" zoomScaleNormal="50" workbookViewId="0">
      <selection activeCell="AH38" sqref="AH38"/>
    </sheetView>
  </sheetViews>
  <sheetFormatPr defaultRowHeight="14.5" x14ac:dyDescent="0.35"/>
  <cols>
    <col min="1" max="2" width="8.6640625" style="35"/>
    <col min="3" max="3" width="9.6640625" style="35" bestFit="1" customWidth="1"/>
    <col min="4" max="12" width="8.6640625" style="35"/>
    <col min="13" max="13" width="9.58203125" style="35" bestFit="1" customWidth="1"/>
    <col min="14" max="16384" width="8.6640625" style="35"/>
  </cols>
  <sheetData>
    <row r="1" spans="10:10" s="36" customFormat="1" x14ac:dyDescent="0.35"/>
    <row r="2" spans="10:10" s="36" customFormat="1" ht="36" x14ac:dyDescent="0.8">
      <c r="J2" s="37" t="s">
        <v>929</v>
      </c>
    </row>
    <row r="3" spans="10:10" s="36" customFormat="1" x14ac:dyDescent="0.3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FCD108-636B-4938-9A54-96CEF8ADA8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clean_dataset</vt:lpstr>
      <vt:lpstr>analysis</vt:lpstr>
      <vt:lpstr>charts for dashboard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Onyedinma</dc:creator>
  <cp:lastModifiedBy>Mary Onyedinma</cp:lastModifiedBy>
  <dcterms:created xsi:type="dcterms:W3CDTF">2026-04-12T16:34:05Z</dcterms:created>
  <dcterms:modified xsi:type="dcterms:W3CDTF">2026-04-16T00:43:56Z</dcterms:modified>
</cp:coreProperties>
</file>